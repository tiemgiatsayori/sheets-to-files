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rojects\test\private\sheets-to-files\"/>
    </mc:Choice>
  </mc:AlternateContent>
  <xr:revisionPtr revIDLastSave="0" documentId="13_ncr:1_{880C7F34-333B-405E-855B-17E798F84FE0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Mỹ Ngọc" sheetId="1" r:id="rId1"/>
    <sheet name="Hùynh Thị Huyền Trân" sheetId="2" r:id="rId2"/>
    <sheet name="Anh Thư" sheetId="3" r:id="rId3"/>
    <sheet name="Nguyễn Thị Mỹ Duyên" sheetId="4" r:id="rId4"/>
    <sheet name="Yến" sheetId="5" r:id="rId5"/>
    <sheet name="NgọcAn" sheetId="6" r:id="rId6"/>
    <sheet name="Nguyễn Thị Như Quỳnh" sheetId="7" r:id="rId7"/>
    <sheet name="Hương" sheetId="8" r:id="rId8"/>
    <sheet name="Lê Duy Mộng Tuyền" sheetId="9" r:id="rId9"/>
    <sheet name="Hải My" sheetId="10" r:id="rId10"/>
    <sheet name="Kim Tiền" sheetId="11" r:id="rId11"/>
    <sheet name="Thanh Bình" sheetId="12" r:id="rId12"/>
    <sheet name="Ngọc Hân" sheetId="13" r:id="rId13"/>
    <sheet name="Kim Anh" sheetId="14" r:id="rId14"/>
    <sheet name="Hải Như" sheetId="15" r:id="rId15"/>
    <sheet name="Ngọc Thi" sheetId="16" r:id="rId16"/>
    <sheet name="Xuân" sheetId="17" r:id="rId17"/>
    <sheet name="Nguyễn thị thanh trúc" sheetId="18" r:id="rId18"/>
    <sheet name="Nguyễn Thanh Trúc" sheetId="19" r:id="rId19"/>
    <sheet name="Nguyễn tuyền" sheetId="20" r:id="rId20"/>
    <sheet name="Thạnh" sheetId="21" r:id="rId21"/>
    <sheet name="Lý Ngọc Quỳnh Châu" sheetId="22" r:id="rId22"/>
    <sheet name="Trinh Trinh" sheetId="23" r:id="rId23"/>
    <sheet name="Huỳnh Mỹ Duyên" sheetId="24" r:id="rId24"/>
    <sheet name="Thanh Ngân" sheetId="25" r:id="rId25"/>
    <sheet name="Ngọc Trâm" sheetId="26" r:id="rId26"/>
    <sheet name="Thanh Nhã" sheetId="27" r:id="rId27"/>
    <sheet name="Phạm Thanh Thảo" sheetId="28" r:id="rId28"/>
    <sheet name="Huỳnh Nguyễn Bảo Trân" sheetId="29" r:id="rId29"/>
    <sheet name="Diệu" sheetId="30" r:id="rId30"/>
    <sheet name="Châu Thảo Anh" sheetId="31" r:id="rId31"/>
    <sheet name="Uyên" sheetId="32" r:id="rId32"/>
    <sheet name="Nguyễn Ánh Tuyết" sheetId="33" r:id="rId33"/>
    <sheet name="Bình" sheetId="34" r:id="rId34"/>
    <sheet name="Ngọc Anh" sheetId="35" r:id="rId35"/>
    <sheet name="Thanh Vy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0" roundtripDataChecksum="SAUZOITIYSC21DItxXgEe7jx33MC/iSxUWIO6OP0ekw="/>
    </ext>
  </extLst>
</workbook>
</file>

<file path=xl/calcChain.xml><?xml version="1.0" encoding="utf-8"?>
<calcChain xmlns="http://schemas.openxmlformats.org/spreadsheetml/2006/main">
  <c r="E10" i="36" l="1"/>
  <c r="E12" i="36" s="1"/>
  <c r="E18" i="36" s="1"/>
  <c r="E4" i="35"/>
  <c r="E6" i="35" s="1"/>
  <c r="E12" i="35" s="1"/>
  <c r="E14" i="34"/>
  <c r="E16" i="34" s="1"/>
  <c r="E22" i="34" s="1"/>
  <c r="E8" i="33"/>
  <c r="E10" i="33" s="1"/>
  <c r="E16" i="33" s="1"/>
  <c r="E14" i="32"/>
  <c r="E16" i="32" s="1"/>
  <c r="E22" i="32" s="1"/>
  <c r="E8" i="31"/>
  <c r="E10" i="31" s="1"/>
  <c r="E16" i="31" s="1"/>
  <c r="E18" i="30"/>
  <c r="E20" i="30" s="1"/>
  <c r="E26" i="30" s="1"/>
  <c r="E18" i="29"/>
  <c r="E20" i="29" s="1"/>
  <c r="E26" i="29" s="1"/>
  <c r="E24" i="28"/>
  <c r="E26" i="28" s="1"/>
  <c r="E32" i="28" s="1"/>
  <c r="E26" i="27"/>
  <c r="E28" i="27" s="1"/>
  <c r="E34" i="27" s="1"/>
  <c r="E14" i="26"/>
  <c r="E16" i="26" s="1"/>
  <c r="E22" i="26" s="1"/>
  <c r="E36" i="25"/>
  <c r="E38" i="25" s="1"/>
  <c r="E44" i="25" s="1"/>
  <c r="E42" i="24"/>
  <c r="E44" i="24" s="1"/>
  <c r="E50" i="24" s="1"/>
  <c r="E32" i="23"/>
  <c r="E34" i="23" s="1"/>
  <c r="E40" i="23" s="1"/>
  <c r="E18" i="22"/>
  <c r="E20" i="22" s="1"/>
  <c r="E26" i="22" s="1"/>
  <c r="E38" i="21"/>
  <c r="E40" i="21" s="1"/>
  <c r="E46" i="21" s="1"/>
  <c r="E16" i="20"/>
  <c r="E18" i="20" s="1"/>
  <c r="E24" i="20" s="1"/>
  <c r="E50" i="19"/>
  <c r="E52" i="19" s="1"/>
  <c r="E58" i="19" s="1"/>
  <c r="E12" i="18"/>
  <c r="E14" i="18" s="1"/>
  <c r="E20" i="18" s="1"/>
  <c r="E56" i="17"/>
  <c r="E58" i="17" s="1"/>
  <c r="E64" i="17" s="1"/>
  <c r="E54" i="16"/>
  <c r="E56" i="16" s="1"/>
  <c r="E62" i="16" s="1"/>
  <c r="E56" i="15"/>
  <c r="E58" i="15" s="1"/>
  <c r="E64" i="15" s="1"/>
  <c r="E52" i="14"/>
  <c r="E54" i="14" s="1"/>
  <c r="E60" i="14" s="1"/>
  <c r="E48" i="13"/>
  <c r="E50" i="13" s="1"/>
  <c r="E56" i="13" s="1"/>
  <c r="E54" i="12"/>
  <c r="E57" i="12" s="1"/>
  <c r="E63" i="12" s="1"/>
  <c r="E8" i="11"/>
  <c r="E26" i="11" s="1"/>
  <c r="E28" i="11" s="1"/>
  <c r="E34" i="11" s="1"/>
  <c r="E56" i="10"/>
  <c r="E58" i="10" s="1"/>
  <c r="E64" i="10" s="1"/>
  <c r="E48" i="9"/>
  <c r="E50" i="9" s="1"/>
  <c r="E56" i="9" s="1"/>
  <c r="E18" i="8"/>
  <c r="E20" i="8" s="1"/>
  <c r="E26" i="8" s="1"/>
  <c r="E34" i="7"/>
  <c r="E40" i="7" s="1"/>
  <c r="E32" i="7"/>
  <c r="E28" i="6"/>
  <c r="E30" i="6" s="1"/>
  <c r="E36" i="6" s="1"/>
  <c r="E44" i="5"/>
  <c r="E46" i="5" s="1"/>
  <c r="E52" i="5" s="1"/>
  <c r="E22" i="4"/>
  <c r="E24" i="4" s="1"/>
  <c r="E30" i="4" s="1"/>
  <c r="E58" i="3"/>
  <c r="E60" i="3" s="1"/>
  <c r="E66" i="3" s="1"/>
  <c r="E24" i="2"/>
  <c r="E26" i="2" s="1"/>
  <c r="E32" i="2" s="1"/>
  <c r="E4" i="1"/>
  <c r="E50" i="1" s="1"/>
  <c r="E52" i="1" s="1"/>
  <c r="E58" i="1" s="1"/>
</calcChain>
</file>

<file path=xl/sharedStrings.xml><?xml version="1.0" encoding="utf-8"?>
<sst xmlns="http://schemas.openxmlformats.org/spreadsheetml/2006/main" count="4747" uniqueCount="763">
  <si>
    <t>Ngày</t>
  </si>
  <si>
    <t>Tên</t>
  </si>
  <si>
    <t>Vào/Tan Ca</t>
  </si>
  <si>
    <t>Chi nhánh</t>
  </si>
  <si>
    <t>Giờ lương</t>
  </si>
  <si>
    <t>01/01/2026 6:50</t>
  </si>
  <si>
    <t>Mỹ Ngọc</t>
  </si>
  <si>
    <t>Vào Ca</t>
  </si>
  <si>
    <t>Tiệm 3</t>
  </si>
  <si>
    <t>x2 ngày lễ</t>
  </si>
  <si>
    <t>01/01/2026 11:59</t>
  </si>
  <si>
    <t>Tan Ca</t>
  </si>
  <si>
    <t>03/01/2026 16:56</t>
  </si>
  <si>
    <t>Tiệm 1</t>
  </si>
  <si>
    <t>x1,5</t>
  </si>
  <si>
    <t>03/01/2026 22:00</t>
  </si>
  <si>
    <t>05/01/2026 7:01</t>
  </si>
  <si>
    <t>05/01/2026 17:00</t>
  </si>
  <si>
    <t>07/01/2026 16:57</t>
  </si>
  <si>
    <t>07/01/2026 22:00</t>
  </si>
  <si>
    <t>08/01/2026 16:59</t>
  </si>
  <si>
    <t>08/01/2026 21:59</t>
  </si>
  <si>
    <t>10/01/2026 16:57</t>
  </si>
  <si>
    <t>10/01/2026 22:01</t>
  </si>
  <si>
    <t>11/01/2026 17:13</t>
  </si>
  <si>
    <t>11/01/2026 22:00</t>
  </si>
  <si>
    <t>12/01/2026 12:07</t>
  </si>
  <si>
    <t>12/01/2026 22:00</t>
  </si>
  <si>
    <t>15/01/2026 16:55</t>
  </si>
  <si>
    <t>15/01/2026 22:00</t>
  </si>
  <si>
    <t>16/01/2026 12:10</t>
  </si>
  <si>
    <t>16/01/2026 17:01</t>
  </si>
  <si>
    <t>17/01/2026 12:32</t>
  </si>
  <si>
    <t>17/01/2026 17:05</t>
  </si>
  <si>
    <t>18/01/2026 07:01</t>
  </si>
  <si>
    <t>18/01/2026 12:08</t>
  </si>
  <si>
    <t>20/01/2026 16:59</t>
  </si>
  <si>
    <t>20/01/2026 21:59</t>
  </si>
  <si>
    <t>21/01/2026 17:22</t>
  </si>
  <si>
    <t>21/01/2026 22:01</t>
  </si>
  <si>
    <t>22/01/2026 14:03</t>
  </si>
  <si>
    <t>22/01/2026 21:59</t>
  </si>
  <si>
    <t>23/01/2026 07:43</t>
  </si>
  <si>
    <t>23/01/2026 12:15</t>
  </si>
  <si>
    <t>23/01/2026 16:59</t>
  </si>
  <si>
    <t>23/01/2026 22:03</t>
  </si>
  <si>
    <t>24/01/2026 11:53</t>
  </si>
  <si>
    <t>24/01/2026 22:06</t>
  </si>
  <si>
    <t>25/01/2026 16:58</t>
  </si>
  <si>
    <t>25/01/2026 22:02</t>
  </si>
  <si>
    <t>26/01/2026 06:57</t>
  </si>
  <si>
    <t>26/01/2026 12:00</t>
  </si>
  <si>
    <t>27/01/2026 16:57</t>
  </si>
  <si>
    <t>27/01/2026 22:00</t>
  </si>
  <si>
    <t>30/01/2026 16:56</t>
  </si>
  <si>
    <t>Tiệm 2</t>
  </si>
  <si>
    <t>30/01/2026 22:00</t>
  </si>
  <si>
    <t>31/01/2026 06:56</t>
  </si>
  <si>
    <t>31/01/2026 11:56</t>
  </si>
  <si>
    <t>31/01/2026 17:03</t>
  </si>
  <si>
    <t>31/01/2026 22:00</t>
  </si>
  <si>
    <t>Tổng giờ lương</t>
  </si>
  <si>
    <t>Lương mỗi giờ</t>
  </si>
  <si>
    <t>Tổng lương</t>
  </si>
  <si>
    <t>Tạm ứng 1</t>
  </si>
  <si>
    <t>Tạm ứng 2</t>
  </si>
  <si>
    <t>Tạm ứng 3</t>
  </si>
  <si>
    <t>Tạm ứng 4</t>
  </si>
  <si>
    <t>Tạm ứng 5</t>
  </si>
  <si>
    <t>Thực lãnh</t>
  </si>
  <si>
    <t>01/01/2026 6:56</t>
  </si>
  <si>
    <t>Hùynh Thị Huyền Trân</t>
  </si>
  <si>
    <t>x2 Tết dương</t>
  </si>
  <si>
    <t>01/01/2026 12:00</t>
  </si>
  <si>
    <t>06/01/2026 11:55</t>
  </si>
  <si>
    <t>06/01/2026 17:00</t>
  </si>
  <si>
    <t>07/01/2026 11:56</t>
  </si>
  <si>
    <t>07/01/2026 17:00</t>
  </si>
  <si>
    <t>08/01/2026 16:27</t>
  </si>
  <si>
    <t>08/01/2026 22:00</t>
  </si>
  <si>
    <t>14/01/2026 11:56</t>
  </si>
  <si>
    <t>14/01/2026 17:00</t>
  </si>
  <si>
    <t>16/01/2026 11:58</t>
  </si>
  <si>
    <t>16/01/2026 22:00</t>
  </si>
  <si>
    <t>23/01/2026 12:00</t>
  </si>
  <si>
    <t>23/01/2026 17:00</t>
  </si>
  <si>
    <t>24/01/2026 11:58</t>
  </si>
  <si>
    <t>24/01/2026 17:01</t>
  </si>
  <si>
    <t>25/01/2026 11:59</t>
  </si>
  <si>
    <t>25/01/2026 17:00</t>
  </si>
  <si>
    <t>26/01/2026 16:57</t>
  </si>
  <si>
    <t>26/01/2026 22:01</t>
  </si>
  <si>
    <t>31/01/2026 11:59</t>
  </si>
  <si>
    <t>Anh Thư</t>
  </si>
  <si>
    <t>03/01/2026 16:59</t>
  </si>
  <si>
    <t>x1,5 tết dương</t>
  </si>
  <si>
    <t>04/01/2026 6:59</t>
  </si>
  <si>
    <t>Tiệm 4</t>
  </si>
  <si>
    <t>x 1,5 tết dương</t>
  </si>
  <si>
    <t>04/01/2026 12:00</t>
  </si>
  <si>
    <t>04/01/2026 16:59</t>
  </si>
  <si>
    <t>04/01/2026 22:00</t>
  </si>
  <si>
    <t>05/01/2026 16:57</t>
  </si>
  <si>
    <t>05/01/2026 22:00</t>
  </si>
  <si>
    <t>06/01/2026 16:57</t>
  </si>
  <si>
    <t>06/01/2026 22:00</t>
  </si>
  <si>
    <t>07/01/2026 17:11</t>
  </si>
  <si>
    <t>07/01/2026 22:16</t>
  </si>
  <si>
    <t>08/01/2026 11:58</t>
  </si>
  <si>
    <t>11/01/2026 17:02</t>
  </si>
  <si>
    <t>12/01/2026 17:01</t>
  </si>
  <si>
    <t>13/01/2026 17:01</t>
  </si>
  <si>
    <t>13/01/2026 22:00</t>
  </si>
  <si>
    <t>14/01/2026 22:00</t>
  </si>
  <si>
    <t>15/01/2026 07:02</t>
  </si>
  <si>
    <t>15/01/2026 12:00</t>
  </si>
  <si>
    <t>15/01/2026 18:05</t>
  </si>
  <si>
    <t>16/01/2026 11:59</t>
  </si>
  <si>
    <t>16/01/2026 17:02</t>
  </si>
  <si>
    <t>17/01/2026 07:05</t>
  </si>
  <si>
    <t>17/01/2026 12:17</t>
  </si>
  <si>
    <t>19/01/2026 16:58</t>
  </si>
  <si>
    <t>19/01/2026 22:02</t>
  </si>
  <si>
    <t>20/01/2026 18:13</t>
  </si>
  <si>
    <t>20/01/2026 22:00</t>
  </si>
  <si>
    <t>22/01/2026 07:02</t>
  </si>
  <si>
    <t>22/01/2026 12:00</t>
  </si>
  <si>
    <t>22/01/2026 16:51</t>
  </si>
  <si>
    <t>22/01/2026 22:00</t>
  </si>
  <si>
    <t>23/01/2026 22:05</t>
  </si>
  <si>
    <t>24/01/2026 06:59</t>
  </si>
  <si>
    <t>24/01/2026 17:00</t>
  </si>
  <si>
    <t>25/01/2026 06:49</t>
  </si>
  <si>
    <t>25/01/2026 12:00</t>
  </si>
  <si>
    <t>25/01/2026 17:01</t>
  </si>
  <si>
    <t>25/01/2026 22:00</t>
  </si>
  <si>
    <t>26/01/2026 16:59</t>
  </si>
  <si>
    <t>26/01/2026 22:00</t>
  </si>
  <si>
    <t>Không chấm vào ca</t>
  </si>
  <si>
    <t>29/01/2026 06:59</t>
  </si>
  <si>
    <t>29/01/2026 12:02</t>
  </si>
  <si>
    <t>29/01/2026 17:02</t>
  </si>
  <si>
    <t>29/01/2026 22:00</t>
  </si>
  <si>
    <t>01/01/2026 6:58</t>
  </si>
  <si>
    <t>Nguyễn Thị Mỹ Duyên</t>
  </si>
  <si>
    <t>01/01/2026 11:58</t>
  </si>
  <si>
    <t>01/01/2026 16:58</t>
  </si>
  <si>
    <t>01/01/2026 21:59</t>
  </si>
  <si>
    <t>02/01/2026 7:05</t>
  </si>
  <si>
    <t>x1,5 Tết dương</t>
  </si>
  <si>
    <t>02/01/2026 17:00</t>
  </si>
  <si>
    <t>03/01/2026 6:58</t>
  </si>
  <si>
    <t>03/01/2026 12:02</t>
  </si>
  <si>
    <t>03/01/2026 17:00</t>
  </si>
  <si>
    <t>03/01/2026 21:59</t>
  </si>
  <si>
    <t>04/01/2026 6:56</t>
  </si>
  <si>
    <t>04/01/2026 12:01</t>
  </si>
  <si>
    <t>05/01/2026 6:58</t>
  </si>
  <si>
    <t>05/01/2026 16:59</t>
  </si>
  <si>
    <t>06/01/2026 7:02</t>
  </si>
  <si>
    <t>06/01/2026 16:59</t>
  </si>
  <si>
    <t>07/01/2026 7:00</t>
  </si>
  <si>
    <t>07/01/2026 11:57</t>
  </si>
  <si>
    <t>07/01/2026 12:04</t>
  </si>
  <si>
    <t>01/01/2026 6:59</t>
  </si>
  <si>
    <t>Yến</t>
  </si>
  <si>
    <t>02/01/2026 6:55</t>
  </si>
  <si>
    <t>02/01/2026 12:00</t>
  </si>
  <si>
    <t>03/01/2026 7:03</t>
  </si>
  <si>
    <t>03/01/2026 12:03</t>
  </si>
  <si>
    <t>04/01/2026 12:02</t>
  </si>
  <si>
    <t>06/01/2026 11:59</t>
  </si>
  <si>
    <t>06/01/2026 17:02</t>
  </si>
  <si>
    <t>08/01/2026 7:01</t>
  </si>
  <si>
    <t>08/01/2026 12:00</t>
  </si>
  <si>
    <t>09/01/2026 7:01</t>
  </si>
  <si>
    <t>09/01/2026 12:00</t>
  </si>
  <si>
    <t>13/01/2026 11:58</t>
  </si>
  <si>
    <t>13/01/2026 17:05</t>
  </si>
  <si>
    <t>14/01/2026 12:06</t>
  </si>
  <si>
    <t>14/01/2026 17:02</t>
  </si>
  <si>
    <t>15/01/2026 07:01</t>
  </si>
  <si>
    <t>15/01/2026 12:03</t>
  </si>
  <si>
    <t>16/01/2026 07:01</t>
  </si>
  <si>
    <t>16/01/2026 12:01</t>
  </si>
  <si>
    <t>18/01/2026 07:02</t>
  </si>
  <si>
    <t>18/01/2026 12:03</t>
  </si>
  <si>
    <t>20/01/2026 11:55</t>
  </si>
  <si>
    <t>20/01/2026 17:10</t>
  </si>
  <si>
    <t>21/01/2026 12:02</t>
  </si>
  <si>
    <t>21/01/2026 17:07</t>
  </si>
  <si>
    <t>23/01/2026 07:05</t>
  </si>
  <si>
    <t>25/01/2026 06:58</t>
  </si>
  <si>
    <t>25/01/2026 12:01</t>
  </si>
  <si>
    <t>26/01/2026 11:54</t>
  </si>
  <si>
    <t>26/01/2026 17:00</t>
  </si>
  <si>
    <t>28/01/2026 11:57</t>
  </si>
  <si>
    <t>28/01/2026 17:23</t>
  </si>
  <si>
    <t>29/01/2026 07:02</t>
  </si>
  <si>
    <t>29/01/2026 12:00</t>
  </si>
  <si>
    <t>30/01/2026 07:00</t>
  </si>
  <si>
    <t>30/01/2026 11:39</t>
  </si>
  <si>
    <t>31/01/2026 17:05</t>
  </si>
  <si>
    <t>01/01/2026 7:04</t>
  </si>
  <si>
    <t>NgọcAn</t>
  </si>
  <si>
    <t>01/01/2026 12:04</t>
  </si>
  <si>
    <t>02/01/2026 7:02</t>
  </si>
  <si>
    <t>Không chấm tan ca</t>
  </si>
  <si>
    <t>05/01/2026 7:06</t>
  </si>
  <si>
    <t>08/01/2026 12:05</t>
  </si>
  <si>
    <t>10/01/2026 11:59</t>
  </si>
  <si>
    <t>10/01/2026 16:43</t>
  </si>
  <si>
    <t>14/01/2026 07:02</t>
  </si>
  <si>
    <t>14/01/2026 12:00</t>
  </si>
  <si>
    <t>16/01/2026 12:13</t>
  </si>
  <si>
    <t>16/01/2026 15:55</t>
  </si>
  <si>
    <t>17/01/2026 07:03</t>
  </si>
  <si>
    <t>17/01/2026 12:00</t>
  </si>
  <si>
    <t>20/01/2026 07:02</t>
  </si>
  <si>
    <t>20/01/2026 12:03</t>
  </si>
  <si>
    <t>23/01/2026 12:02</t>
  </si>
  <si>
    <t>27/01/2026 07:02</t>
  </si>
  <si>
    <t>27/01/2026 12:17</t>
  </si>
  <si>
    <t>28/01/2026 06:59</t>
  </si>
  <si>
    <t>28/01/2026 12:00</t>
  </si>
  <si>
    <t>30/01/2026 12:01</t>
  </si>
  <si>
    <t>30/01/2026 17:00</t>
  </si>
  <si>
    <t>01/01/2026 11:53</t>
  </si>
  <si>
    <t>Nguyễn Thị Như Quỳnh</t>
  </si>
  <si>
    <t>01/01/2026 17:02</t>
  </si>
  <si>
    <t>03/01/2026 12:00</t>
  </si>
  <si>
    <t>06/01/2026 6:59</t>
  </si>
  <si>
    <t>06/01/2026 12:00</t>
  </si>
  <si>
    <t>07/01/2026 7:02</t>
  </si>
  <si>
    <t>07/01/2026 12:01</t>
  </si>
  <si>
    <t>09/01/2026 7:06</t>
  </si>
  <si>
    <t>10/01/2026 12:02</t>
  </si>
  <si>
    <t>10/01/2026 17:00</t>
  </si>
  <si>
    <t>14/01/2026 11:57</t>
  </si>
  <si>
    <t>15/01/2026 06:55</t>
  </si>
  <si>
    <t>18/01/2026 11:58</t>
  </si>
  <si>
    <t>18/01/2026 17:00</t>
  </si>
  <si>
    <t>19/01/2026 07:00</t>
  </si>
  <si>
    <t>19/01/2026 12:00</t>
  </si>
  <si>
    <t>20/01/2026 11:56</t>
  </si>
  <si>
    <t>20/01/2026 17:03</t>
  </si>
  <si>
    <t>21/01/2026 11:55</t>
  </si>
  <si>
    <t>21/01/2026 17:00</t>
  </si>
  <si>
    <t>22/01/2026 07:00</t>
  </si>
  <si>
    <t>23/01/2026 07:01</t>
  </si>
  <si>
    <t>24/01/2026 22:00</t>
  </si>
  <si>
    <t>01/01/2026 11:54</t>
  </si>
  <si>
    <t>Hương</t>
  </si>
  <si>
    <t>x2 Tết dương lịch</t>
  </si>
  <si>
    <t>01/01/2026 17:00</t>
  </si>
  <si>
    <t>04/01/2026 6:58</t>
  </si>
  <si>
    <t>04/01/2026 11:59</t>
  </si>
  <si>
    <t>13/01/2026 07:04</t>
  </si>
  <si>
    <t>13/01/2026 12:00</t>
  </si>
  <si>
    <t>18/01/2026 16:55</t>
  </si>
  <si>
    <t>18/01/2026 22:00</t>
  </si>
  <si>
    <t>20/01/2026 06:58</t>
  </si>
  <si>
    <t>20/01/2026 11:33</t>
  </si>
  <si>
    <t>24/01/2026 06:57</t>
  </si>
  <si>
    <t>28/01/2026 06:57</t>
  </si>
  <si>
    <t>Lê Duy Mộng Tuyền</t>
  </si>
  <si>
    <t>02/01/2026 6:58</t>
  </si>
  <si>
    <t>03/01/2026 6:59</t>
  </si>
  <si>
    <t>03/01/2026 12:04</t>
  </si>
  <si>
    <t>05/01/2026 11:57</t>
  </si>
  <si>
    <t>06/01/2026 12:01</t>
  </si>
  <si>
    <t>06/01/2026 17:01</t>
  </si>
  <si>
    <t>09/01/2026 11:58</t>
  </si>
  <si>
    <t>09/01/2026 17:01</t>
  </si>
  <si>
    <t>12/01/2026 6:58</t>
  </si>
  <si>
    <t>12/01/2026 12:03</t>
  </si>
  <si>
    <t>13/01/2026 17:00</t>
  </si>
  <si>
    <t>14/01/2026 17:01</t>
  </si>
  <si>
    <t>15/01/2026 11:55</t>
  </si>
  <si>
    <t>15/01/2026 17:01</t>
  </si>
  <si>
    <t>16/01/2026 06:59</t>
  </si>
  <si>
    <t>16/01/2026 12:05</t>
  </si>
  <si>
    <t>17/01/2026 11:58</t>
  </si>
  <si>
    <t>18/01/2026 11:53</t>
  </si>
  <si>
    <t>19/01/2026 07:01</t>
  </si>
  <si>
    <t>19/01/2026 12:06</t>
  </si>
  <si>
    <t>20/01/2026 06:59</t>
  </si>
  <si>
    <t>20/01/2026 12:00</t>
  </si>
  <si>
    <t>22/01/2026 06:59</t>
  </si>
  <si>
    <t>22/01/2026 12:01</t>
  </si>
  <si>
    <t>23/01/2026 11:55</t>
  </si>
  <si>
    <t>24/01/2026 07:05</t>
  </si>
  <si>
    <t>24/01/2026 12:04</t>
  </si>
  <si>
    <t>26/01/2026 07:00</t>
  </si>
  <si>
    <t>26/01/2026 11:59</t>
  </si>
  <si>
    <t>27/01/2026 07:01</t>
  </si>
  <si>
    <t>27/01/2026 12:03</t>
  </si>
  <si>
    <t>27/01/2026 12:14</t>
  </si>
  <si>
    <t>27/01/2026 17:06</t>
  </si>
  <si>
    <t>Hải My</t>
  </si>
  <si>
    <t>x2 tết dương</t>
  </si>
  <si>
    <t>02/01/2026 17:01</t>
  </si>
  <si>
    <t>02/01/2026 22:00</t>
  </si>
  <si>
    <t>04/01/2026 12:03</t>
  </si>
  <si>
    <t>04/01/2026 17:00</t>
  </si>
  <si>
    <t>06/01/2026 7:05</t>
  </si>
  <si>
    <t>08/01/2026 17:00</t>
  </si>
  <si>
    <t>10/01/2026 17:04</t>
  </si>
  <si>
    <t>10/01/2026 22:00</t>
  </si>
  <si>
    <t>11/01/2026 11:58</t>
  </si>
  <si>
    <t>11/01/2026 16:59</t>
  </si>
  <si>
    <t>13/01/2026 07:00</t>
  </si>
  <si>
    <t>13/01/2026 12:02</t>
  </si>
  <si>
    <t>15/01/2026 12:02</t>
  </si>
  <si>
    <t>18/01/2026 16:59</t>
  </si>
  <si>
    <t>19/01/2026 17:00</t>
  </si>
  <si>
    <t>19/01/2026 22:00</t>
  </si>
  <si>
    <t>20/01/2026 16:58</t>
  </si>
  <si>
    <t>20/01/2026 17:32</t>
  </si>
  <si>
    <t>21/01/2026 12:00</t>
  </si>
  <si>
    <t>21/01/2026 22:00</t>
  </si>
  <si>
    <t>22/01/2026 07:01</t>
  </si>
  <si>
    <t>22/01/2026 14:04</t>
  </si>
  <si>
    <t>24/01/2026 12:00</t>
  </si>
  <si>
    <t>25/01/2026 07:04</t>
  </si>
  <si>
    <t>26/01/2026 17:04</t>
  </si>
  <si>
    <t>27/01/2026 07:23</t>
  </si>
  <si>
    <t>27/01/2026 12:00</t>
  </si>
  <si>
    <t>27/01/2026 17:01</t>
  </si>
  <si>
    <t>27/01/2026 22:03</t>
  </si>
  <si>
    <t>28/01/2026 16:49</t>
  </si>
  <si>
    <t>28/01/2026 17:13</t>
  </si>
  <si>
    <t>28/01/2026 22:00</t>
  </si>
  <si>
    <t>29/01/2026 07:03</t>
  </si>
  <si>
    <t>29/01/2026 16:58</t>
  </si>
  <si>
    <t>31/01/2026 17:02</t>
  </si>
  <si>
    <t>31/01/2026 21:59</t>
  </si>
  <si>
    <t>Kim Tiền</t>
  </si>
  <si>
    <t>01/01/2026 17:11</t>
  </si>
  <si>
    <t>02/01/2026 6:59</t>
  </si>
  <si>
    <t>x1,5 tết dương lịch</t>
  </si>
  <si>
    <t>03/01/2026 7:05</t>
  </si>
  <si>
    <t>09/01/2026 11:59</t>
  </si>
  <si>
    <t>10/01/2026 11:56</t>
  </si>
  <si>
    <t>10/01/2026 17:03</t>
  </si>
  <si>
    <t>15/01/2026 17:02</t>
  </si>
  <si>
    <t>27/01/2026 17:05</t>
  </si>
  <si>
    <t>28/01/2026 17:18</t>
  </si>
  <si>
    <t>30/01/2026 17:02</t>
  </si>
  <si>
    <t>31/01/2026 06:58</t>
  </si>
  <si>
    <t>31/01/2026 12:02</t>
  </si>
  <si>
    <t>01/01/2026 12:01</t>
  </si>
  <si>
    <t>Thanh Bình</t>
  </si>
  <si>
    <t>04/01/2026 17:05</t>
  </si>
  <si>
    <t>05/01/2026 17:07</t>
  </si>
  <si>
    <t>06/01/2026 11:54</t>
  </si>
  <si>
    <t>07/01/2026 11:50</t>
  </si>
  <si>
    <t>08/01/2026 12:11</t>
  </si>
  <si>
    <t>08/01/2026 16:29</t>
  </si>
  <si>
    <t>09/01/2026 17:05</t>
  </si>
  <si>
    <t>11/01/2026 11:59</t>
  </si>
  <si>
    <t>11/01/2026 17:06</t>
  </si>
  <si>
    <t>12/01/2026 16:59</t>
  </si>
  <si>
    <t>13/01/2026 12:13</t>
  </si>
  <si>
    <t>13/01/2026 17:04</t>
  </si>
  <si>
    <t>14/01/2026 17:03</t>
  </si>
  <si>
    <t>16/01/2026 16:55</t>
  </si>
  <si>
    <t>16/01/2026 22:01</t>
  </si>
  <si>
    <t>18/01/2026 16:57</t>
  </si>
  <si>
    <t>19/01/2026 11:56</t>
  </si>
  <si>
    <t>21/01/2026 16:58</t>
  </si>
  <si>
    <t>22/01/2026 16:57</t>
  </si>
  <si>
    <t>23/01/2026 12:01</t>
  </si>
  <si>
    <t>23/01/2026 17:03</t>
  </si>
  <si>
    <t>26/01/2026 16:56</t>
  </si>
  <si>
    <t>Bình</t>
  </si>
  <si>
    <t>28/01/2026 16:50</t>
  </si>
  <si>
    <t>29/01/2026 11:54</t>
  </si>
  <si>
    <t>29/01/2026 17:00</t>
  </si>
  <si>
    <t>30/01/2026 16:55</t>
  </si>
  <si>
    <t>31/01/2026 11:57</t>
  </si>
  <si>
    <t>01/01/2026 16:56</t>
  </si>
  <si>
    <t>Ngọc Hân</t>
  </si>
  <si>
    <t>01/01/2026 22:00</t>
  </si>
  <si>
    <t>05/01/2026 16:56</t>
  </si>
  <si>
    <t>05/01/2026 22:01</t>
  </si>
  <si>
    <t>06/01/2026 16:58</t>
  </si>
  <si>
    <t>06/01/2026 22:03</t>
  </si>
  <si>
    <t>07/01/2026 16:49</t>
  </si>
  <si>
    <t>07/01/2026 22:01</t>
  </si>
  <si>
    <t>08/01/2026 16:56</t>
  </si>
  <si>
    <t>08/01/2026 22:01</t>
  </si>
  <si>
    <t>09/01/2026 16:59</t>
  </si>
  <si>
    <t>09/01/2026 22:01</t>
  </si>
  <si>
    <t>10/01/2026 16:42</t>
  </si>
  <si>
    <t>10/01/2026 21:59</t>
  </si>
  <si>
    <t>11/01/2026 6:53</t>
  </si>
  <si>
    <t>11/01/2026 17:11</t>
  </si>
  <si>
    <t>12/01/2026 6:56</t>
  </si>
  <si>
    <t>13/01/2026 06:56</t>
  </si>
  <si>
    <t>13/01/2026 12:09</t>
  </si>
  <si>
    <t>15/01/2026 11:54</t>
  </si>
  <si>
    <t>15/01/2026 17:03</t>
  </si>
  <si>
    <t>16/01/2026 17:00</t>
  </si>
  <si>
    <t>16/01/2026 22:07</t>
  </si>
  <si>
    <t>17/01/2026 16:54</t>
  </si>
  <si>
    <t>17/01/2026 22:14</t>
  </si>
  <si>
    <t>18/01/2026 10:12</t>
  </si>
  <si>
    <t>18/01/2026 22:04</t>
  </si>
  <si>
    <t>21/01/2026 16:54</t>
  </si>
  <si>
    <t>21/01/2026 22:03</t>
  </si>
  <si>
    <t>22/01/2026 16:58</t>
  </si>
  <si>
    <t>24/01/2026 11:48</t>
  </si>
  <si>
    <t>25/01/2026 16:56</t>
  </si>
  <si>
    <t>25/01/2026 22:01</t>
  </si>
  <si>
    <t>26/01/2026 07:04</t>
  </si>
  <si>
    <t>26/01/2026 12:02</t>
  </si>
  <si>
    <t>30/01/2026 21:59</t>
  </si>
  <si>
    <t>31/01/2026 17:00</t>
  </si>
  <si>
    <t>01/01/2026 16:57</t>
  </si>
  <si>
    <t>Kim Anh</t>
  </si>
  <si>
    <t>02/01/2026 11:58</t>
  </si>
  <si>
    <t>02/01/2026 22:01</t>
  </si>
  <si>
    <t>06/01/2026 22:01</t>
  </si>
  <si>
    <t>07/01/2026 16:58</t>
  </si>
  <si>
    <t>08/01/2026 6:58</t>
  </si>
  <si>
    <t>08/01/2026 12:02</t>
  </si>
  <si>
    <t>09/01/2026 16:57</t>
  </si>
  <si>
    <t>09/01/2026 22:00</t>
  </si>
  <si>
    <t>10/01/2026 6:58</t>
  </si>
  <si>
    <t>10/01/2026 12:00</t>
  </si>
  <si>
    <t>11/01/2026 7:02</t>
  </si>
  <si>
    <t>11/01/2026 12:06</t>
  </si>
  <si>
    <t>12/01/2026 17:06</t>
  </si>
  <si>
    <t>13/01/2026 06:59</t>
  </si>
  <si>
    <t>15/01/2026 11:57</t>
  </si>
  <si>
    <t>15/01/2026 17:00</t>
  </si>
  <si>
    <t>16/01/2026 12:00</t>
  </si>
  <si>
    <t>17/01/2026 06:58</t>
  </si>
  <si>
    <t>17/01/2026 12:01</t>
  </si>
  <si>
    <t>17/01/2026 16:55</t>
  </si>
  <si>
    <t>17/01/2026 22:00</t>
  </si>
  <si>
    <t>18/01/2026 16:56</t>
  </si>
  <si>
    <t>19/01/2026 12:01</t>
  </si>
  <si>
    <t>19/01/2026 22:03</t>
  </si>
  <si>
    <t>20/01/2026 12:01</t>
  </si>
  <si>
    <t>21/01/2026 07:00</t>
  </si>
  <si>
    <t>26/01/2026 17:01</t>
  </si>
  <si>
    <t>27/01/2026 11:57</t>
  </si>
  <si>
    <t>28/01/2026 11:59</t>
  </si>
  <si>
    <t>28/01/2026 17:01</t>
  </si>
  <si>
    <t>29/01/2026 11:56</t>
  </si>
  <si>
    <t>29/01/2026 17:01</t>
  </si>
  <si>
    <t>30/01/2026 11:57</t>
  </si>
  <si>
    <t>30/01/2026 16:59</t>
  </si>
  <si>
    <t>31/01/2026 06:57</t>
  </si>
  <si>
    <t>31/01/2026 12:00</t>
  </si>
  <si>
    <t>01/01/2026 17:05</t>
  </si>
  <si>
    <t>Hải Như</t>
  </si>
  <si>
    <t>03/01/2026 7:02</t>
  </si>
  <si>
    <t>03/01/2026 17:02</t>
  </si>
  <si>
    <t>04/01/2026 22:02</t>
  </si>
  <si>
    <t>05/01/2026 7:02</t>
  </si>
  <si>
    <t>05/01/2026 12:00</t>
  </si>
  <si>
    <t>07/01/2026 7:04</t>
  </si>
  <si>
    <t>10/01/2026 7:02</t>
  </si>
  <si>
    <t>10/01/2026 17:05</t>
  </si>
  <si>
    <t>11/01/2026 7:04</t>
  </si>
  <si>
    <t>12/01/2026 7:05</t>
  </si>
  <si>
    <t>12/01/2026 17:00</t>
  </si>
  <si>
    <t>13/01/2026 17:27</t>
  </si>
  <si>
    <t>16/01/2026 07:04</t>
  </si>
  <si>
    <t>17/01/2026 07:04</t>
  </si>
  <si>
    <t>18/01/2026 07:04</t>
  </si>
  <si>
    <t>18/01/2026 17:10</t>
  </si>
  <si>
    <t>19/01/2026 12:05</t>
  </si>
  <si>
    <t>20/01/2026 11:39</t>
  </si>
  <si>
    <t>20/01/2026 17:02</t>
  </si>
  <si>
    <t>21/01/2026 12:04</t>
  </si>
  <si>
    <t>21/01/2026 17:27</t>
  </si>
  <si>
    <t>22/01/2026 17:02</t>
  </si>
  <si>
    <t>24/01/2026 12:02</t>
  </si>
  <si>
    <t>25/01/2026 07:02</t>
  </si>
  <si>
    <t>26/01/2026 12:04</t>
  </si>
  <si>
    <t>27/01/2026 12:04</t>
  </si>
  <si>
    <t>28/01/2026 11:56</t>
  </si>
  <si>
    <t>28/01/2026 22:01</t>
  </si>
  <si>
    <t>30/01/2026 22:01</t>
  </si>
  <si>
    <t>02/01/2026 11:56</t>
  </si>
  <si>
    <t>Ngọc Thi</t>
  </si>
  <si>
    <t>03/01/2026 11:58</t>
  </si>
  <si>
    <t>04/01/2026 11:58</t>
  </si>
  <si>
    <t>06/01/2026 6:58</t>
  </si>
  <si>
    <t>07/01/2026 12:03</t>
  </si>
  <si>
    <t>08/01/2026 6:55</t>
  </si>
  <si>
    <t>10/01/2026 6:56</t>
  </si>
  <si>
    <t>11/01/2026 7:00</t>
  </si>
  <si>
    <t>12/01/2026 11:59</t>
  </si>
  <si>
    <t>13/01/2026 16:56</t>
  </si>
  <si>
    <t>14/01/2026 06:58</t>
  </si>
  <si>
    <t>17/01/2026 11:56</t>
  </si>
  <si>
    <t>17/01/2026 17:00</t>
  </si>
  <si>
    <t>18/01/2026 06:58</t>
  </si>
  <si>
    <t>18/01/2026 16:58</t>
  </si>
  <si>
    <t>19/01/2026 11:58</t>
  </si>
  <si>
    <t>19/01/2026 16:59</t>
  </si>
  <si>
    <t>21/01/2026 06:59</t>
  </si>
  <si>
    <t>21/01/2026 12:01</t>
  </si>
  <si>
    <t>22/01/2026 11:59</t>
  </si>
  <si>
    <t>22/01/2026 17:00</t>
  </si>
  <si>
    <t>23/01/2026 16:58</t>
  </si>
  <si>
    <t>23/01/2026 21:59</t>
  </si>
  <si>
    <t>25/01/2026 11:57</t>
  </si>
  <si>
    <t>25/01/2026 12:04</t>
  </si>
  <si>
    <t>31/01/2026 16:56</t>
  </si>
  <si>
    <t>02/01/2026 11:59</t>
  </si>
  <si>
    <t>Xuân</t>
  </si>
  <si>
    <t>03/01/2026 16:53</t>
  </si>
  <si>
    <t>04/01/2026 17:02</t>
  </si>
  <si>
    <t>05/01/2026 12:06</t>
  </si>
  <si>
    <t>05/01/2026 16:58</t>
  </si>
  <si>
    <t>07/01/2026 12:00</t>
  </si>
  <si>
    <t>10/01/2026 7:06</t>
  </si>
  <si>
    <t>11/01/2026 17:04</t>
  </si>
  <si>
    <t>11/01/2026 22:17</t>
  </si>
  <si>
    <t>12/01/2026 17:04</t>
  </si>
  <si>
    <t>12/01/2026 22:05</t>
  </si>
  <si>
    <t>13/01/2026 22:02</t>
  </si>
  <si>
    <t>15/01/2026 16:59</t>
  </si>
  <si>
    <t>17/01/2026 17:03</t>
  </si>
  <si>
    <t>18/01/2026 12:00</t>
  </si>
  <si>
    <t>18/01/2026 17:04</t>
  </si>
  <si>
    <t>21/01/2026 06:58</t>
  </si>
  <si>
    <t>22/01/2026 11:57</t>
  </si>
  <si>
    <t>23/01/2026 17:05</t>
  </si>
  <si>
    <t>23/01/2026 22:00</t>
  </si>
  <si>
    <t>24/01/2026 12:05</t>
  </si>
  <si>
    <t>24/01/2026 16:59</t>
  </si>
  <si>
    <t>25/01/2026 16:57</t>
  </si>
  <si>
    <t>25/01/2026 22:16</t>
  </si>
  <si>
    <t>26/01/2026 17:02</t>
  </si>
  <si>
    <t>27/01/2026 06:59</t>
  </si>
  <si>
    <t>27/01/2026 12:33</t>
  </si>
  <si>
    <t>29/01/2026 07:27</t>
  </si>
  <si>
    <t>29/01/2026 22:01</t>
  </si>
  <si>
    <t>30/01/2026 17:05</t>
  </si>
  <si>
    <t>31/01/2026 12:10</t>
  </si>
  <si>
    <t>02/01/2026 16:52</t>
  </si>
  <si>
    <t>Nguyễn thị thanh trúc</t>
  </si>
  <si>
    <t>03/01/2026 16:49</t>
  </si>
  <si>
    <t>03/01/2026 17:13</t>
  </si>
  <si>
    <t>04/01/2026 7:02</t>
  </si>
  <si>
    <t>05/01/2026 7:08</t>
  </si>
  <si>
    <t>Nguyễn Thanh Trúc</t>
  </si>
  <si>
    <t>03/01/2026 22:02</t>
  </si>
  <si>
    <t>05/01/2026 17:01</t>
  </si>
  <si>
    <t>08/01/2026 12:04</t>
  </si>
  <si>
    <t>10/01/2026 17:07</t>
  </si>
  <si>
    <t>10/01/2026 22:02</t>
  </si>
  <si>
    <t>11/01/2026 17:03</t>
  </si>
  <si>
    <t>13/01/2026 22:01</t>
  </si>
  <si>
    <t>15/01/2026 17:09</t>
  </si>
  <si>
    <t>16/01/2026 17:03</t>
  </si>
  <si>
    <t>17/01/2026 17:06</t>
  </si>
  <si>
    <t>18/01/2026 17:12</t>
  </si>
  <si>
    <t>18/01/2026 22:01</t>
  </si>
  <si>
    <t>21/01/2026 16:04</t>
  </si>
  <si>
    <t>23/01/2026 12:04</t>
  </si>
  <si>
    <t>23/01/2026 17:01</t>
  </si>
  <si>
    <t>24/01/2026 17:12</t>
  </si>
  <si>
    <t>25/01/2026 17:03</t>
  </si>
  <si>
    <t>25/01/2026 22:03</t>
  </si>
  <si>
    <t>26/01/2026 17:06</t>
  </si>
  <si>
    <t>27/01/2026 17:30</t>
  </si>
  <si>
    <t>27/01/2026 22:04</t>
  </si>
  <si>
    <t>28/01/2026 17:03</t>
  </si>
  <si>
    <t>29/01/2026 17:05</t>
  </si>
  <si>
    <t>31/01/2026 12:12</t>
  </si>
  <si>
    <t>31/01/2026 22:01</t>
  </si>
  <si>
    <t>04/01/2026 6:57</t>
  </si>
  <si>
    <t>Nguyễn tuyền</t>
  </si>
  <si>
    <t>09/01/2026 21:59</t>
  </si>
  <si>
    <t>11/01/2026 7:01</t>
  </si>
  <si>
    <t>11/01/2026 12:07</t>
  </si>
  <si>
    <t>17/01/2026 21:59</t>
  </si>
  <si>
    <t>18/01/2026 12:10</t>
  </si>
  <si>
    <t>19/01/2026 07:20</t>
  </si>
  <si>
    <t>19/01/2026 12:04</t>
  </si>
  <si>
    <t>29/01/2026 11:59</t>
  </si>
  <si>
    <t>04/01/2026 11:53</t>
  </si>
  <si>
    <t>Thạnh</t>
  </si>
  <si>
    <t>05/01/2026 11:55</t>
  </si>
  <si>
    <t>06/01/2026 7:01</t>
  </si>
  <si>
    <t>07/01/2026 6:58</t>
  </si>
  <si>
    <t>07/01/2026 12:09</t>
  </si>
  <si>
    <t>12/01/2026 6:59</t>
  </si>
  <si>
    <t>12/01/2026 12:02</t>
  </si>
  <si>
    <t>14/01/2026 17:30</t>
  </si>
  <si>
    <t>16/01/2026 06:56</t>
  </si>
  <si>
    <t>20/01/2026 16:55</t>
  </si>
  <si>
    <t>21/01/2026 06:51</t>
  </si>
  <si>
    <t>22/01/2026 06:52</t>
  </si>
  <si>
    <t>23/01/2026 06:50</t>
  </si>
  <si>
    <t>25/01/2026 11:58</t>
  </si>
  <si>
    <t>28/01/2026 06:58</t>
  </si>
  <si>
    <t>29/01/2026 06:52</t>
  </si>
  <si>
    <t>30/01/2026 11:54</t>
  </si>
  <si>
    <t>30/01/2026 17:01</t>
  </si>
  <si>
    <t>04/01/2026 11:57</t>
  </si>
  <si>
    <t>Lý Ngọc Quỳnh Châu</t>
  </si>
  <si>
    <t>04/01/2026 17:18</t>
  </si>
  <si>
    <t>08/01/2026 17:01</t>
  </si>
  <si>
    <t>09/01/2026 12:01</t>
  </si>
  <si>
    <t>12/01/2026 17:30</t>
  </si>
  <si>
    <t>16/01/2026 07:31</t>
  </si>
  <si>
    <t>16/01/2026 12:33</t>
  </si>
  <si>
    <t>19/01/2026 06:54</t>
  </si>
  <si>
    <t>19/01/2026 12:32</t>
  </si>
  <si>
    <t>20/01/2026 17:06</t>
  </si>
  <si>
    <t>30/01/2026 06:57</t>
  </si>
  <si>
    <t>30/01/2026 12:05</t>
  </si>
  <si>
    <t>Trinh Trinh</t>
  </si>
  <si>
    <t>04/01/2026 17:01</t>
  </si>
  <si>
    <t>07/01/2026 7:01</t>
  </si>
  <si>
    <t>07/01/2026 17:01</t>
  </si>
  <si>
    <t>11/01/2026 12:02</t>
  </si>
  <si>
    <t>12/01/2026 12:06</t>
  </si>
  <si>
    <t>15/01/2026 22:03</t>
  </si>
  <si>
    <t>17/01/2026 06:59</t>
  </si>
  <si>
    <t>17/01/2026 10:00</t>
  </si>
  <si>
    <t>19/01/2026 06:59</t>
  </si>
  <si>
    <t>19/01/2026 17:08</t>
  </si>
  <si>
    <t>20/01/2026 17:04</t>
  </si>
  <si>
    <t>22/01/2026 11:56</t>
  </si>
  <si>
    <t>22/01/2026 17:03</t>
  </si>
  <si>
    <t>23/01/2026 11:50</t>
  </si>
  <si>
    <t>26/01/2026 11:55</t>
  </si>
  <si>
    <t>29/01/2026 12:03</t>
  </si>
  <si>
    <t>29/01/2026 17:03</t>
  </si>
  <si>
    <t>04/01/2026 16:52</t>
  </si>
  <si>
    <t>Huỳnh Mỹ Duyên</t>
  </si>
  <si>
    <t>04/01/2026 22:04</t>
  </si>
  <si>
    <t>07/01/2026 16:59</t>
  </si>
  <si>
    <t>07/01/2026 22:12</t>
  </si>
  <si>
    <t>08/01/2026 16:57</t>
  </si>
  <si>
    <t>10/01/2026 16:58</t>
  </si>
  <si>
    <t>11/01/2026 7:51</t>
  </si>
  <si>
    <t>11/01/2026 17:15</t>
  </si>
  <si>
    <t>12/01/2026 11:58</t>
  </si>
  <si>
    <t>13/01/2026 16:58</t>
  </si>
  <si>
    <t>13/01/2026 22:15</t>
  </si>
  <si>
    <t>15/01/2026 16:52</t>
  </si>
  <si>
    <t>15/01/2026 22:07</t>
  </si>
  <si>
    <t>16/01/2026 15:52</t>
  </si>
  <si>
    <t>17/01/2026 09:58</t>
  </si>
  <si>
    <t>18/01/2026 12:57</t>
  </si>
  <si>
    <t>18/01/2026 22:02</t>
  </si>
  <si>
    <t>20/01/2026 18:12</t>
  </si>
  <si>
    <t>21/01/2026 17:01</t>
  </si>
  <si>
    <t>22/01/2026 11:53</t>
  </si>
  <si>
    <t>22/01/2026 17:07</t>
  </si>
  <si>
    <t>23/01/2026 16:54</t>
  </si>
  <si>
    <t>23/01/2026 22:14</t>
  </si>
  <si>
    <t>25/01/2026 07:14</t>
  </si>
  <si>
    <t>25/01/2026 12:15</t>
  </si>
  <si>
    <t>27/01/2026 11:54</t>
  </si>
  <si>
    <t>27/01/2026 17:00</t>
  </si>
  <si>
    <t>31/01/2026 17:07</t>
  </si>
  <si>
    <t>Thanh Ngân</t>
  </si>
  <si>
    <t>08/01/2026 11:54</t>
  </si>
  <si>
    <t>10/01/2026 11:54</t>
  </si>
  <si>
    <t>11/01/2026 16:58</t>
  </si>
  <si>
    <t>13/01/2026 11:57</t>
  </si>
  <si>
    <t>13/01/2026 16:59</t>
  </si>
  <si>
    <t>15/01/2026 07:03</t>
  </si>
  <si>
    <t>16/01/2026 16:56</t>
  </si>
  <si>
    <t>21/01/2026 06:54</t>
  </si>
  <si>
    <t>22/01/2026 16:56</t>
  </si>
  <si>
    <t>28/01/2026 06:52</t>
  </si>
  <si>
    <t>28/01/2026 16:48</t>
  </si>
  <si>
    <t>29/01/2026 11:52</t>
  </si>
  <si>
    <t>30/01/2026 16:50</t>
  </si>
  <si>
    <t>31/01/2026 16:54</t>
  </si>
  <si>
    <t>Ngọc Trâm</t>
  </si>
  <si>
    <t>09/01/2026 7:02</t>
  </si>
  <si>
    <t>09/01/2026 12:07</t>
  </si>
  <si>
    <t>26/01/2026 12:01</t>
  </si>
  <si>
    <t>26/01/2026 17:08</t>
  </si>
  <si>
    <t>27/01/2026 07:03</t>
  </si>
  <si>
    <t>27/01/2026 12:02</t>
  </si>
  <si>
    <t>Thanh Nhã</t>
  </si>
  <si>
    <t>06/01/2026 22:19</t>
  </si>
  <si>
    <t>09/01/2026 17:00</t>
  </si>
  <si>
    <t>09/01/2026 22:02</t>
  </si>
  <si>
    <t>10/01/2026 22:06</t>
  </si>
  <si>
    <t>11/01/2026 12:03</t>
  </si>
  <si>
    <t>13/01/2026 22:06</t>
  </si>
  <si>
    <t>16/01/2026 12:03</t>
  </si>
  <si>
    <t>16/01/2026 17:04</t>
  </si>
  <si>
    <t>17/01/2026 11:59</t>
  </si>
  <si>
    <t>17/01/2026 22:06</t>
  </si>
  <si>
    <t>21/01/2026 22:09</t>
  </si>
  <si>
    <t>24/01/2026 07:02</t>
  </si>
  <si>
    <t>24/01/2026 22:02</t>
  </si>
  <si>
    <t>30/01/2026 07:02</t>
  </si>
  <si>
    <t>30/01/2026 12:02</t>
  </si>
  <si>
    <t>31/01/2026 07:02</t>
  </si>
  <si>
    <t>31/01/2026 12:04</t>
  </si>
  <si>
    <t>Phạm Thanh Thảo</t>
  </si>
  <si>
    <t>06/01/2026 20:35</t>
  </si>
  <si>
    <t>08/01/2026 7:02</t>
  </si>
  <si>
    <t>14/01/2026 07:00</t>
  </si>
  <si>
    <t>20/01/2026 16:57</t>
  </si>
  <si>
    <t>30/01/2026 12:00</t>
  </si>
  <si>
    <t>Huỳnh Nguyễn Bảo Trân</t>
  </si>
  <si>
    <t>09/01/2026 12:02</t>
  </si>
  <si>
    <t>09/01/2026 17:11</t>
  </si>
  <si>
    <t>16/01/2026 12:12</t>
  </si>
  <si>
    <t>16/01/2026 16:57</t>
  </si>
  <si>
    <t>20/01/2026 07:15</t>
  </si>
  <si>
    <t>20/01/2026 12:02</t>
  </si>
  <si>
    <t>23/01/2026 07:07</t>
  </si>
  <si>
    <t>23/01/2026 11:15</t>
  </si>
  <si>
    <t>25/01/2026 12:03</t>
  </si>
  <si>
    <t>31/01/2026 07:06</t>
  </si>
  <si>
    <t>31/01/2026 12:03</t>
  </si>
  <si>
    <t>Diệu</t>
  </si>
  <si>
    <t>08/01/2026 21:58</t>
  </si>
  <si>
    <t>09/01/2026 17:09</t>
  </si>
  <si>
    <t>11/01/2026 16:54</t>
  </si>
  <si>
    <t>11/01/2026 21:58</t>
  </si>
  <si>
    <t>14/01/2026 12:07</t>
  </si>
  <si>
    <t>17/01/2026 06:56</t>
  </si>
  <si>
    <t>17/01/2026 11:57</t>
  </si>
  <si>
    <t>18/01/2026 12:01</t>
  </si>
  <si>
    <t>21/01/2026 11:59</t>
  </si>
  <si>
    <t>21/01/2026 16:02</t>
  </si>
  <si>
    <t>Châu Thảo Anh</t>
  </si>
  <si>
    <t>29/01/2026 11:57</t>
  </si>
  <si>
    <t>29/01/2026 16:59</t>
  </si>
  <si>
    <t>25/01/2026 07:53</t>
  </si>
  <si>
    <t>Uyên</t>
  </si>
  <si>
    <t>26/01/2026 11:58</t>
  </si>
  <si>
    <t>29/01/2026 16:50</t>
  </si>
  <si>
    <t>30/01/2026 11:56</t>
  </si>
  <si>
    <t>26/01/2026 07:07</t>
  </si>
  <si>
    <t>Nguyễn Ánh Tuyết</t>
  </si>
  <si>
    <t>28/01/2026 11:54</t>
  </si>
  <si>
    <t>28/01/2026 17:02</t>
  </si>
  <si>
    <t>29/01/2026 16:57</t>
  </si>
  <si>
    <t>27/01/2026 07:25</t>
  </si>
  <si>
    <t>Ngọc Anh</t>
  </si>
  <si>
    <t>27/01/2026 11:59</t>
  </si>
  <si>
    <t>27/01/2026 16:55</t>
  </si>
  <si>
    <t>Thanh Vy</t>
  </si>
  <si>
    <t>27/01/2026 22:01</t>
  </si>
  <si>
    <t>28/01/2026 11:55</t>
  </si>
  <si>
    <t>29/01/2026 16:54</t>
  </si>
  <si>
    <t>29/01/2026 22:04</t>
  </si>
  <si>
    <t xml:space="preserve"> Ngày</t>
  </si>
  <si>
    <t>Số tài khoản</t>
  </si>
  <si>
    <t>Mã ngân hàng</t>
  </si>
  <si>
    <t>bidv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</si>
</sst>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6" zoomScale="62" zoomScaleNormal="50" workbookViewId="0">
      <selection activeCell="N45" sqref="N45"/>
    </sheetView>
  </sheetViews>
  <sheetFormatPr defaultColWidth="11.125" defaultRowHeight="15" customHeight="1" x14ac:dyDescent="0.25"/>
  <cols>
    <col min="1" max="1" width="26.3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8" t="s">
        <v>759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10</v>
      </c>
      <c r="F2" s="1" t="s">
        <v>9</v>
      </c>
    </row>
    <row r="3" spans="1:6" ht="15.75" x14ac:dyDescent="0.25">
      <c r="A3" s="1" t="s">
        <v>10</v>
      </c>
      <c r="B3" s="1" t="s">
        <v>6</v>
      </c>
      <c r="C3" s="1" t="s">
        <v>11</v>
      </c>
      <c r="D3" s="1" t="s">
        <v>8</v>
      </c>
      <c r="E3" s="2"/>
    </row>
    <row r="4" spans="1:6" ht="15.75" x14ac:dyDescent="0.25">
      <c r="A4" s="1" t="s">
        <v>12</v>
      </c>
      <c r="B4" s="1" t="s">
        <v>6</v>
      </c>
      <c r="C4" s="1" t="s">
        <v>7</v>
      </c>
      <c r="D4" s="1" t="s">
        <v>13</v>
      </c>
      <c r="E4" s="2">
        <f>5*1.5</f>
        <v>7.5</v>
      </c>
      <c r="F4" s="1" t="s">
        <v>14</v>
      </c>
    </row>
    <row r="5" spans="1:6" ht="15.75" x14ac:dyDescent="0.25">
      <c r="A5" s="1" t="s">
        <v>15</v>
      </c>
      <c r="B5" s="1" t="s">
        <v>6</v>
      </c>
      <c r="C5" s="1" t="s">
        <v>11</v>
      </c>
      <c r="D5" s="1" t="s">
        <v>13</v>
      </c>
      <c r="E5" s="2"/>
    </row>
    <row r="6" spans="1:6" ht="15.75" x14ac:dyDescent="0.25">
      <c r="A6" s="1" t="s">
        <v>16</v>
      </c>
      <c r="B6" s="1" t="s">
        <v>6</v>
      </c>
      <c r="C6" s="1" t="s">
        <v>7</v>
      </c>
      <c r="D6" s="1" t="s">
        <v>13</v>
      </c>
      <c r="E6" s="2">
        <v>10</v>
      </c>
    </row>
    <row r="7" spans="1:6" ht="15.75" x14ac:dyDescent="0.25">
      <c r="A7" s="1" t="s">
        <v>17</v>
      </c>
      <c r="B7" s="1" t="s">
        <v>6</v>
      </c>
      <c r="C7" s="1" t="s">
        <v>11</v>
      </c>
      <c r="D7" s="1" t="s">
        <v>13</v>
      </c>
      <c r="E7" s="2"/>
    </row>
    <row r="8" spans="1:6" ht="15.75" x14ac:dyDescent="0.25">
      <c r="A8" s="1" t="s">
        <v>18</v>
      </c>
      <c r="B8" s="1" t="s">
        <v>6</v>
      </c>
      <c r="C8" s="1" t="s">
        <v>7</v>
      </c>
      <c r="D8" s="1" t="s">
        <v>13</v>
      </c>
      <c r="E8" s="2">
        <v>5</v>
      </c>
    </row>
    <row r="9" spans="1:6" ht="15.75" x14ac:dyDescent="0.25">
      <c r="A9" s="1" t="s">
        <v>19</v>
      </c>
      <c r="B9" s="1" t="s">
        <v>6</v>
      </c>
      <c r="C9" s="1" t="s">
        <v>11</v>
      </c>
      <c r="D9" s="1" t="s">
        <v>13</v>
      </c>
      <c r="E9" s="2"/>
    </row>
    <row r="10" spans="1:6" ht="15.75" x14ac:dyDescent="0.25">
      <c r="A10" s="1" t="s">
        <v>20</v>
      </c>
      <c r="B10" s="1" t="s">
        <v>6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21</v>
      </c>
      <c r="B11" s="1" t="s">
        <v>6</v>
      </c>
      <c r="C11" s="1" t="s">
        <v>11</v>
      </c>
      <c r="D11" s="1" t="s">
        <v>13</v>
      </c>
      <c r="E11" s="2"/>
    </row>
    <row r="12" spans="1:6" ht="15.75" x14ac:dyDescent="0.25">
      <c r="A12" s="1" t="s">
        <v>22</v>
      </c>
      <c r="B12" s="1" t="s">
        <v>6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23</v>
      </c>
      <c r="B13" s="1" t="s">
        <v>6</v>
      </c>
      <c r="C13" s="1" t="s">
        <v>11</v>
      </c>
      <c r="D13" s="1" t="s">
        <v>13</v>
      </c>
      <c r="E13" s="2"/>
    </row>
    <row r="14" spans="1:6" ht="15.75" x14ac:dyDescent="0.25">
      <c r="A14" s="1" t="s">
        <v>24</v>
      </c>
      <c r="B14" s="1" t="s">
        <v>6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25</v>
      </c>
      <c r="B15" s="1" t="s">
        <v>6</v>
      </c>
      <c r="C15" s="1" t="s">
        <v>11</v>
      </c>
      <c r="D15" s="1" t="s">
        <v>13</v>
      </c>
      <c r="E15" s="2"/>
    </row>
    <row r="16" spans="1:6" ht="15.75" x14ac:dyDescent="0.25">
      <c r="A16" s="1" t="s">
        <v>26</v>
      </c>
      <c r="B16" s="1" t="s">
        <v>6</v>
      </c>
      <c r="C16" s="1" t="s">
        <v>7</v>
      </c>
      <c r="D16" s="1" t="s">
        <v>13</v>
      </c>
      <c r="E16" s="2">
        <v>10</v>
      </c>
    </row>
    <row r="17" spans="1:5" ht="15.75" x14ac:dyDescent="0.25">
      <c r="A17" s="1" t="s">
        <v>27</v>
      </c>
      <c r="B17" s="1" t="s">
        <v>6</v>
      </c>
      <c r="C17" s="1" t="s">
        <v>11</v>
      </c>
      <c r="D17" s="1" t="s">
        <v>13</v>
      </c>
      <c r="E17" s="2"/>
    </row>
    <row r="18" spans="1:5" ht="15.75" x14ac:dyDescent="0.25">
      <c r="A18" s="1" t="s">
        <v>28</v>
      </c>
      <c r="B18" s="1" t="s">
        <v>6</v>
      </c>
      <c r="C18" s="1" t="s">
        <v>7</v>
      </c>
      <c r="D18" s="1" t="s">
        <v>13</v>
      </c>
      <c r="E18" s="2">
        <v>5</v>
      </c>
    </row>
    <row r="19" spans="1:5" ht="15.75" x14ac:dyDescent="0.25">
      <c r="A19" s="1" t="s">
        <v>29</v>
      </c>
      <c r="B19" s="1" t="s">
        <v>6</v>
      </c>
      <c r="C19" s="1" t="s">
        <v>11</v>
      </c>
      <c r="D19" s="1" t="s">
        <v>13</v>
      </c>
      <c r="E19" s="2"/>
    </row>
    <row r="20" spans="1:5" ht="15.75" x14ac:dyDescent="0.25">
      <c r="A20" s="1" t="s">
        <v>30</v>
      </c>
      <c r="B20" s="1" t="s">
        <v>6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31</v>
      </c>
      <c r="B21" s="1" t="s">
        <v>6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32</v>
      </c>
      <c r="B22" s="1" t="s">
        <v>6</v>
      </c>
      <c r="C22" s="1" t="s">
        <v>7</v>
      </c>
      <c r="D22" s="1" t="s">
        <v>13</v>
      </c>
      <c r="E22" s="2">
        <v>4.5</v>
      </c>
    </row>
    <row r="23" spans="1:5" ht="15.75" customHeight="1" x14ac:dyDescent="0.25">
      <c r="A23" s="1" t="s">
        <v>33</v>
      </c>
      <c r="B23" s="1" t="s">
        <v>6</v>
      </c>
      <c r="C23" s="1" t="s">
        <v>11</v>
      </c>
      <c r="D23" s="1" t="s">
        <v>13</v>
      </c>
      <c r="E23" s="2"/>
    </row>
    <row r="24" spans="1:5" ht="15.75" customHeight="1" x14ac:dyDescent="0.25">
      <c r="A24" s="1" t="s">
        <v>34</v>
      </c>
      <c r="B24" s="1" t="s">
        <v>6</v>
      </c>
      <c r="C24" s="1" t="s">
        <v>7</v>
      </c>
      <c r="D24" s="1" t="s">
        <v>8</v>
      </c>
      <c r="E24" s="2">
        <v>5</v>
      </c>
    </row>
    <row r="25" spans="1:5" ht="15.75" customHeight="1" x14ac:dyDescent="0.25">
      <c r="A25" s="1" t="s">
        <v>35</v>
      </c>
      <c r="B25" s="1" t="s">
        <v>6</v>
      </c>
      <c r="C25" s="1" t="s">
        <v>11</v>
      </c>
      <c r="D25" s="1" t="s">
        <v>8</v>
      </c>
      <c r="E25" s="2"/>
    </row>
    <row r="26" spans="1:5" ht="15.75" customHeight="1" x14ac:dyDescent="0.25">
      <c r="A26" s="1" t="s">
        <v>36</v>
      </c>
      <c r="B26" s="1" t="s">
        <v>6</v>
      </c>
      <c r="C26" s="1" t="s">
        <v>7</v>
      </c>
      <c r="D26" s="1" t="s">
        <v>13</v>
      </c>
      <c r="E26" s="2">
        <v>5</v>
      </c>
    </row>
    <row r="27" spans="1:5" ht="15.75" customHeight="1" x14ac:dyDescent="0.25">
      <c r="A27" s="1" t="s">
        <v>37</v>
      </c>
      <c r="B27" s="1" t="s">
        <v>6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38</v>
      </c>
      <c r="B28" s="1" t="s">
        <v>6</v>
      </c>
      <c r="C28" s="1" t="s">
        <v>7</v>
      </c>
      <c r="D28" s="1" t="s">
        <v>13</v>
      </c>
      <c r="E28" s="2">
        <v>5</v>
      </c>
    </row>
    <row r="29" spans="1:5" ht="15.75" customHeight="1" x14ac:dyDescent="0.25">
      <c r="A29" s="1" t="s">
        <v>39</v>
      </c>
      <c r="B29" s="1" t="s">
        <v>6</v>
      </c>
      <c r="C29" s="1" t="s">
        <v>11</v>
      </c>
      <c r="D29" s="1" t="s">
        <v>13</v>
      </c>
      <c r="E29" s="2"/>
    </row>
    <row r="30" spans="1:5" ht="15.75" customHeight="1" x14ac:dyDescent="0.25">
      <c r="A30" s="1" t="s">
        <v>40</v>
      </c>
      <c r="B30" s="1" t="s">
        <v>6</v>
      </c>
      <c r="C30" s="1" t="s">
        <v>7</v>
      </c>
      <c r="D30" s="1" t="s">
        <v>13</v>
      </c>
      <c r="E30" s="2">
        <v>8</v>
      </c>
    </row>
    <row r="31" spans="1:5" ht="15.75" customHeight="1" x14ac:dyDescent="0.25">
      <c r="A31" s="1" t="s">
        <v>41</v>
      </c>
      <c r="B31" s="1" t="s">
        <v>6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42</v>
      </c>
      <c r="B32" s="1" t="s">
        <v>6</v>
      </c>
      <c r="C32" s="1" t="s">
        <v>7</v>
      </c>
      <c r="D32" s="1" t="s">
        <v>13</v>
      </c>
      <c r="E32" s="2">
        <v>4.5</v>
      </c>
    </row>
    <row r="33" spans="1:5" ht="15.75" customHeight="1" x14ac:dyDescent="0.25">
      <c r="A33" s="1" t="s">
        <v>43</v>
      </c>
      <c r="B33" s="1" t="s">
        <v>6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44</v>
      </c>
      <c r="B34" s="1" t="s">
        <v>6</v>
      </c>
      <c r="C34" s="1" t="s">
        <v>7</v>
      </c>
      <c r="D34" s="1" t="s">
        <v>13</v>
      </c>
      <c r="E34" s="2">
        <v>5</v>
      </c>
    </row>
    <row r="35" spans="1:5" ht="15.75" customHeight="1" x14ac:dyDescent="0.25">
      <c r="A35" s="1" t="s">
        <v>45</v>
      </c>
      <c r="B35" s="1" t="s">
        <v>6</v>
      </c>
      <c r="C35" s="1" t="s">
        <v>11</v>
      </c>
      <c r="D35" s="1" t="s">
        <v>13</v>
      </c>
      <c r="E35" s="2"/>
    </row>
    <row r="36" spans="1:5" ht="15.75" customHeight="1" x14ac:dyDescent="0.25">
      <c r="A36" s="1" t="s">
        <v>46</v>
      </c>
      <c r="B36" s="1" t="s">
        <v>6</v>
      </c>
      <c r="C36" s="1" t="s">
        <v>7</v>
      </c>
      <c r="D36" s="1" t="s">
        <v>8</v>
      </c>
      <c r="E36" s="2">
        <v>10</v>
      </c>
    </row>
    <row r="37" spans="1:5" ht="15.75" customHeight="1" x14ac:dyDescent="0.25">
      <c r="A37" s="1" t="s">
        <v>47</v>
      </c>
      <c r="B37" s="1" t="s">
        <v>6</v>
      </c>
      <c r="C37" s="1" t="s">
        <v>11</v>
      </c>
      <c r="D37" s="1" t="s">
        <v>8</v>
      </c>
      <c r="E37" s="2"/>
    </row>
    <row r="38" spans="1:5" ht="15.75" customHeight="1" x14ac:dyDescent="0.25">
      <c r="A38" s="1" t="s">
        <v>48</v>
      </c>
      <c r="B38" s="1" t="s">
        <v>6</v>
      </c>
      <c r="C38" s="1" t="s">
        <v>7</v>
      </c>
      <c r="D38" s="1" t="s">
        <v>13</v>
      </c>
      <c r="E38" s="2">
        <v>5</v>
      </c>
    </row>
    <row r="39" spans="1:5" ht="15.75" customHeight="1" x14ac:dyDescent="0.25">
      <c r="A39" s="1" t="s">
        <v>49</v>
      </c>
      <c r="B39" s="1" t="s">
        <v>6</v>
      </c>
      <c r="C39" s="1" t="s">
        <v>11</v>
      </c>
      <c r="D39" s="1" t="s">
        <v>13</v>
      </c>
      <c r="E39" s="2"/>
    </row>
    <row r="40" spans="1:5" ht="15.75" customHeight="1" x14ac:dyDescent="0.25">
      <c r="A40" s="1" t="s">
        <v>50</v>
      </c>
      <c r="B40" s="1" t="s">
        <v>6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51</v>
      </c>
      <c r="B41" s="1" t="s">
        <v>6</v>
      </c>
      <c r="C41" s="1" t="s">
        <v>11</v>
      </c>
      <c r="D41" s="1" t="s">
        <v>13</v>
      </c>
      <c r="E41" s="2"/>
    </row>
    <row r="42" spans="1:5" ht="15.75" customHeight="1" x14ac:dyDescent="0.25">
      <c r="A42" s="1" t="s">
        <v>52</v>
      </c>
      <c r="B42" s="1" t="s">
        <v>6</v>
      </c>
      <c r="C42" s="1" t="s">
        <v>7</v>
      </c>
      <c r="D42" s="1" t="s">
        <v>8</v>
      </c>
      <c r="E42" s="2">
        <v>5</v>
      </c>
    </row>
    <row r="43" spans="1:5" ht="15.75" customHeight="1" x14ac:dyDescent="0.25">
      <c r="A43" s="1" t="s">
        <v>53</v>
      </c>
      <c r="B43" s="1" t="s">
        <v>6</v>
      </c>
      <c r="C43" s="1" t="s">
        <v>11</v>
      </c>
      <c r="D43" s="1" t="s">
        <v>8</v>
      </c>
      <c r="E43" s="2"/>
    </row>
    <row r="44" spans="1:5" ht="15.75" customHeight="1" x14ac:dyDescent="0.25">
      <c r="A44" s="1" t="s">
        <v>54</v>
      </c>
      <c r="B44" s="1" t="s">
        <v>6</v>
      </c>
      <c r="C44" s="1" t="s">
        <v>7</v>
      </c>
      <c r="D44" s="1" t="s">
        <v>55</v>
      </c>
      <c r="E44" s="2">
        <v>5</v>
      </c>
    </row>
    <row r="45" spans="1:5" ht="15.75" customHeight="1" x14ac:dyDescent="0.25">
      <c r="A45" s="1" t="s">
        <v>56</v>
      </c>
      <c r="B45" s="1" t="s">
        <v>6</v>
      </c>
      <c r="C45" s="1" t="s">
        <v>11</v>
      </c>
      <c r="D45" s="1" t="s">
        <v>55</v>
      </c>
      <c r="E45" s="2"/>
    </row>
    <row r="46" spans="1:5" ht="15.75" customHeight="1" x14ac:dyDescent="0.25">
      <c r="A46" s="1" t="s">
        <v>57</v>
      </c>
      <c r="B46" s="1" t="s">
        <v>6</v>
      </c>
      <c r="C46" s="1" t="s">
        <v>7</v>
      </c>
      <c r="D46" s="1" t="s">
        <v>13</v>
      </c>
      <c r="E46" s="2">
        <v>5</v>
      </c>
    </row>
    <row r="47" spans="1:5" ht="15.75" customHeight="1" x14ac:dyDescent="0.25">
      <c r="A47" s="1" t="s">
        <v>58</v>
      </c>
      <c r="B47" s="1" t="s">
        <v>6</v>
      </c>
      <c r="C47" s="1" t="s">
        <v>11</v>
      </c>
      <c r="D47" s="1" t="s">
        <v>13</v>
      </c>
      <c r="E47" s="2"/>
    </row>
    <row r="48" spans="1:5" ht="15.75" customHeight="1" x14ac:dyDescent="0.25">
      <c r="A48" s="1" t="s">
        <v>59</v>
      </c>
      <c r="B48" s="1" t="s">
        <v>6</v>
      </c>
      <c r="C48" s="1" t="s">
        <v>7</v>
      </c>
      <c r="D48" s="1" t="s">
        <v>13</v>
      </c>
      <c r="E48" s="2">
        <v>5</v>
      </c>
    </row>
    <row r="49" spans="1:6" ht="15.75" customHeight="1" x14ac:dyDescent="0.25">
      <c r="A49" s="1" t="s">
        <v>60</v>
      </c>
      <c r="B49" s="1" t="s">
        <v>6</v>
      </c>
      <c r="C49" s="1" t="s">
        <v>11</v>
      </c>
      <c r="D49" s="1" t="s">
        <v>13</v>
      </c>
      <c r="E49" s="2"/>
    </row>
    <row r="50" spans="1:6" ht="15.75" customHeight="1" x14ac:dyDescent="0.25">
      <c r="D50" s="1" t="s">
        <v>61</v>
      </c>
      <c r="E50" s="3">
        <f>SUM(E2:E49)</f>
        <v>144.5</v>
      </c>
    </row>
    <row r="51" spans="1:6" ht="15.75" customHeight="1" x14ac:dyDescent="0.25">
      <c r="D51" s="1" t="s">
        <v>62</v>
      </c>
      <c r="E51" s="2">
        <v>17000</v>
      </c>
    </row>
    <row r="52" spans="1:6" ht="15.75" customHeight="1" x14ac:dyDescent="0.25">
      <c r="D52" s="1" t="s">
        <v>63</v>
      </c>
      <c r="E52" s="1">
        <f>E50*E51</f>
        <v>2456500</v>
      </c>
    </row>
    <row r="53" spans="1:6" ht="15.75" customHeight="1" x14ac:dyDescent="0.25">
      <c r="D53" s="1" t="s">
        <v>64</v>
      </c>
      <c r="E53" s="2">
        <v>1200000</v>
      </c>
      <c r="F53" s="4">
        <v>46044</v>
      </c>
    </row>
    <row r="54" spans="1:6" ht="15.75" customHeight="1" x14ac:dyDescent="0.25">
      <c r="D54" s="1" t="s">
        <v>65</v>
      </c>
      <c r="E54" s="2">
        <v>500000</v>
      </c>
      <c r="F54" s="4">
        <v>46047</v>
      </c>
    </row>
    <row r="55" spans="1:6" ht="15.75" customHeight="1" x14ac:dyDescent="0.25">
      <c r="D55" s="1" t="s">
        <v>66</v>
      </c>
      <c r="E55" s="2">
        <v>0</v>
      </c>
    </row>
    <row r="56" spans="1:6" ht="15.75" customHeight="1" x14ac:dyDescent="0.25">
      <c r="D56" s="1" t="s">
        <v>67</v>
      </c>
      <c r="E56" s="2">
        <v>0</v>
      </c>
    </row>
    <row r="57" spans="1:6" ht="15.75" customHeight="1" x14ac:dyDescent="0.25">
      <c r="A57" t="s">
        <v>760</v>
      </c>
      <c r="B57">
        <v>1440092290</v>
      </c>
      <c r="D57" s="1" t="s">
        <v>68</v>
      </c>
      <c r="E57" s="2">
        <v>0</v>
      </c>
    </row>
    <row r="58" spans="1:6" ht="15.75" customHeight="1" x14ac:dyDescent="0.25">
      <c r="A58" t="s">
        <v>761</v>
      </c>
      <c r="B58" t="s">
        <v>762</v>
      </c>
      <c r="D58" s="1" t="s">
        <v>69</v>
      </c>
      <c r="E58" s="3">
        <f>E52 - SUM(E53:E57)</f>
        <v>756500</v>
      </c>
    </row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B32" sqref="B32"/>
    </sheetView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70</v>
      </c>
      <c r="B2" s="1" t="s">
        <v>71</v>
      </c>
      <c r="C2" s="1" t="s">
        <v>7</v>
      </c>
      <c r="D2" s="1" t="s">
        <v>13</v>
      </c>
      <c r="E2" s="2">
        <v>10</v>
      </c>
      <c r="F2" s="1" t="s">
        <v>72</v>
      </c>
    </row>
    <row r="3" spans="1:6" ht="15.75" x14ac:dyDescent="0.25">
      <c r="A3" s="1" t="s">
        <v>73</v>
      </c>
      <c r="B3" s="1" t="s">
        <v>71</v>
      </c>
      <c r="C3" s="1" t="s">
        <v>11</v>
      </c>
      <c r="D3" s="1" t="s">
        <v>13</v>
      </c>
      <c r="E3" s="2"/>
    </row>
    <row r="4" spans="1:6" ht="15.75" x14ac:dyDescent="0.25">
      <c r="A4" s="1" t="s">
        <v>74</v>
      </c>
      <c r="B4" s="1" t="s">
        <v>71</v>
      </c>
      <c r="C4" s="1" t="s">
        <v>7</v>
      </c>
      <c r="D4" s="1" t="s">
        <v>55</v>
      </c>
      <c r="E4" s="2">
        <v>5</v>
      </c>
    </row>
    <row r="5" spans="1:6" ht="15.75" x14ac:dyDescent="0.25">
      <c r="A5" s="1" t="s">
        <v>75</v>
      </c>
      <c r="B5" s="1" t="s">
        <v>71</v>
      </c>
      <c r="C5" s="1" t="s">
        <v>11</v>
      </c>
      <c r="D5" s="1" t="s">
        <v>55</v>
      </c>
      <c r="E5" s="2"/>
    </row>
    <row r="6" spans="1:6" ht="15.75" x14ac:dyDescent="0.25">
      <c r="A6" s="1" t="s">
        <v>76</v>
      </c>
      <c r="B6" s="1" t="s">
        <v>71</v>
      </c>
      <c r="C6" s="1" t="s">
        <v>7</v>
      </c>
      <c r="D6" s="1" t="s">
        <v>55</v>
      </c>
      <c r="E6" s="2">
        <v>5</v>
      </c>
    </row>
    <row r="7" spans="1:6" ht="15.75" x14ac:dyDescent="0.25">
      <c r="A7" s="1" t="s">
        <v>77</v>
      </c>
      <c r="B7" s="1" t="s">
        <v>71</v>
      </c>
      <c r="C7" s="1" t="s">
        <v>11</v>
      </c>
      <c r="D7" s="1" t="s">
        <v>55</v>
      </c>
      <c r="E7" s="2"/>
    </row>
    <row r="8" spans="1:6" ht="15.75" x14ac:dyDescent="0.25">
      <c r="A8" s="1" t="s">
        <v>78</v>
      </c>
      <c r="B8" s="1" t="s">
        <v>71</v>
      </c>
      <c r="C8" s="1" t="s">
        <v>7</v>
      </c>
      <c r="D8" s="1" t="s">
        <v>55</v>
      </c>
      <c r="E8" s="2">
        <v>5.5</v>
      </c>
    </row>
    <row r="9" spans="1:6" ht="15.75" x14ac:dyDescent="0.25">
      <c r="A9" s="1" t="s">
        <v>79</v>
      </c>
      <c r="B9" s="1" t="s">
        <v>71</v>
      </c>
      <c r="C9" s="1" t="s">
        <v>11</v>
      </c>
      <c r="D9" s="1" t="s">
        <v>55</v>
      </c>
      <c r="E9" s="2"/>
    </row>
    <row r="10" spans="1:6" ht="15.75" x14ac:dyDescent="0.25">
      <c r="A10" s="1" t="s">
        <v>80</v>
      </c>
      <c r="B10" s="1" t="s">
        <v>71</v>
      </c>
      <c r="C10" s="1" t="s">
        <v>7</v>
      </c>
      <c r="D10" s="1" t="s">
        <v>55</v>
      </c>
      <c r="E10" s="2">
        <v>5</v>
      </c>
    </row>
    <row r="11" spans="1:6" ht="15.75" x14ac:dyDescent="0.25">
      <c r="A11" s="1" t="s">
        <v>81</v>
      </c>
      <c r="B11" s="1" t="s">
        <v>71</v>
      </c>
      <c r="C11" s="1" t="s">
        <v>11</v>
      </c>
      <c r="D11" s="1" t="s">
        <v>55</v>
      </c>
      <c r="E11" s="2"/>
    </row>
    <row r="12" spans="1:6" ht="15.75" x14ac:dyDescent="0.25">
      <c r="A12" s="1" t="s">
        <v>82</v>
      </c>
      <c r="B12" s="1" t="s">
        <v>71</v>
      </c>
      <c r="C12" s="1" t="s">
        <v>7</v>
      </c>
      <c r="D12" s="1" t="s">
        <v>55</v>
      </c>
      <c r="E12" s="2">
        <v>10</v>
      </c>
    </row>
    <row r="13" spans="1:6" ht="15.75" x14ac:dyDescent="0.25">
      <c r="A13" s="1" t="s">
        <v>83</v>
      </c>
      <c r="B13" s="1" t="s">
        <v>71</v>
      </c>
      <c r="C13" s="1" t="s">
        <v>11</v>
      </c>
      <c r="D13" s="1" t="s">
        <v>55</v>
      </c>
      <c r="E13" s="2"/>
    </row>
    <row r="14" spans="1:6" ht="15.75" x14ac:dyDescent="0.25">
      <c r="A14" s="1" t="s">
        <v>84</v>
      </c>
      <c r="B14" s="1" t="s">
        <v>71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85</v>
      </c>
      <c r="B15" s="1" t="s">
        <v>71</v>
      </c>
      <c r="C15" s="1" t="s">
        <v>11</v>
      </c>
      <c r="D15" s="1" t="s">
        <v>55</v>
      </c>
      <c r="E15" s="2"/>
    </row>
    <row r="16" spans="1:6" ht="15.75" x14ac:dyDescent="0.25">
      <c r="A16" s="1" t="s">
        <v>86</v>
      </c>
      <c r="B16" s="1" t="s">
        <v>71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87</v>
      </c>
      <c r="B17" s="1" t="s">
        <v>71</v>
      </c>
      <c r="C17" s="1" t="s">
        <v>11</v>
      </c>
      <c r="D17" s="1" t="s">
        <v>55</v>
      </c>
      <c r="E17" s="2"/>
    </row>
    <row r="18" spans="1:5" ht="15.75" x14ac:dyDescent="0.25">
      <c r="A18" s="1" t="s">
        <v>88</v>
      </c>
      <c r="B18" s="1" t="s">
        <v>71</v>
      </c>
      <c r="C18" s="1" t="s">
        <v>7</v>
      </c>
      <c r="D18" s="1" t="s">
        <v>55</v>
      </c>
      <c r="E18" s="2">
        <v>5</v>
      </c>
    </row>
    <row r="19" spans="1:5" ht="15.75" x14ac:dyDescent="0.25">
      <c r="A19" s="1" t="s">
        <v>89</v>
      </c>
      <c r="B19" s="1" t="s">
        <v>71</v>
      </c>
      <c r="C19" s="1" t="s">
        <v>11</v>
      </c>
      <c r="D19" s="1" t="s">
        <v>55</v>
      </c>
      <c r="E19" s="2"/>
    </row>
    <row r="20" spans="1:5" ht="15.75" x14ac:dyDescent="0.25">
      <c r="A20" s="1" t="s">
        <v>90</v>
      </c>
      <c r="B20" s="1" t="s">
        <v>71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91</v>
      </c>
      <c r="B21" s="1" t="s">
        <v>71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92</v>
      </c>
      <c r="B22" s="1" t="s">
        <v>71</v>
      </c>
      <c r="C22" s="1" t="s">
        <v>7</v>
      </c>
      <c r="D22" s="1" t="s">
        <v>55</v>
      </c>
      <c r="E22" s="2">
        <v>10</v>
      </c>
    </row>
    <row r="23" spans="1:5" ht="15.75" customHeight="1" x14ac:dyDescent="0.25">
      <c r="A23" s="1" t="s">
        <v>60</v>
      </c>
      <c r="B23" s="1" t="s">
        <v>71</v>
      </c>
      <c r="C23" s="1" t="s">
        <v>11</v>
      </c>
      <c r="D23" s="1" t="s">
        <v>55</v>
      </c>
      <c r="E23" s="2"/>
    </row>
    <row r="24" spans="1:5" ht="15.75" customHeight="1" x14ac:dyDescent="0.25">
      <c r="D24" s="1" t="s">
        <v>61</v>
      </c>
      <c r="E24" s="3">
        <f>SUM(E2:E23)</f>
        <v>70.5</v>
      </c>
    </row>
    <row r="25" spans="1:5" ht="15.75" customHeight="1" x14ac:dyDescent="0.25">
      <c r="D25" s="1" t="s">
        <v>62</v>
      </c>
      <c r="E25" s="2">
        <v>15000</v>
      </c>
    </row>
    <row r="26" spans="1:5" ht="15.75" customHeight="1" x14ac:dyDescent="0.25">
      <c r="D26" s="1" t="s">
        <v>63</v>
      </c>
      <c r="E26" s="1">
        <f>E24*E25</f>
        <v>1057500</v>
      </c>
    </row>
    <row r="27" spans="1:5" ht="15.75" customHeight="1" x14ac:dyDescent="0.25">
      <c r="D27" s="1" t="s">
        <v>64</v>
      </c>
      <c r="E27" s="2">
        <v>0</v>
      </c>
    </row>
    <row r="28" spans="1:5" ht="15.75" customHeight="1" x14ac:dyDescent="0.25">
      <c r="D28" s="1" t="s">
        <v>65</v>
      </c>
      <c r="E28" s="2">
        <v>0</v>
      </c>
    </row>
    <row r="29" spans="1:5" ht="15.75" customHeight="1" x14ac:dyDescent="0.25">
      <c r="D29" s="1" t="s">
        <v>66</v>
      </c>
      <c r="E29" s="2">
        <v>0</v>
      </c>
    </row>
    <row r="30" spans="1:5" ht="15.75" customHeight="1" x14ac:dyDescent="0.25">
      <c r="D30" s="1" t="s">
        <v>67</v>
      </c>
      <c r="E30" s="2">
        <v>0</v>
      </c>
    </row>
    <row r="31" spans="1:5" ht="15.75" customHeight="1" x14ac:dyDescent="0.25">
      <c r="A31" t="s">
        <v>760</v>
      </c>
      <c r="B31">
        <v>1440092292</v>
      </c>
      <c r="D31" s="1" t="s">
        <v>68</v>
      </c>
      <c r="E31" s="2">
        <v>0</v>
      </c>
    </row>
    <row r="32" spans="1:5" ht="15.75" customHeight="1" x14ac:dyDescent="0.25">
      <c r="A32" t="s">
        <v>761</v>
      </c>
      <c r="B32" t="s">
        <v>762</v>
      </c>
      <c r="D32" s="1" t="s">
        <v>69</v>
      </c>
      <c r="E32" s="3">
        <f>E26 - SUM(E27:E31)</f>
        <v>1057500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6"/>
  <sheetViews>
    <sheetView topLeftCell="A35" workbookViewId="0">
      <selection activeCell="B65" sqref="B65"/>
    </sheetView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70</v>
      </c>
      <c r="B2" s="1" t="s">
        <v>93</v>
      </c>
      <c r="C2" s="1" t="s">
        <v>7</v>
      </c>
      <c r="D2" s="1" t="s">
        <v>13</v>
      </c>
      <c r="E2" s="2">
        <v>10</v>
      </c>
      <c r="F2" s="1" t="s">
        <v>72</v>
      </c>
    </row>
    <row r="3" spans="1:6" ht="15.75" x14ac:dyDescent="0.25">
      <c r="A3" s="1" t="s">
        <v>73</v>
      </c>
      <c r="B3" s="1" t="s">
        <v>93</v>
      </c>
      <c r="C3" s="1" t="s">
        <v>11</v>
      </c>
      <c r="D3" s="1" t="s">
        <v>13</v>
      </c>
      <c r="E3" s="2"/>
    </row>
    <row r="4" spans="1:6" ht="15.75" x14ac:dyDescent="0.25">
      <c r="A4" s="1" t="s">
        <v>94</v>
      </c>
      <c r="B4" s="1" t="s">
        <v>93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15</v>
      </c>
      <c r="B5" s="1" t="s">
        <v>93</v>
      </c>
      <c r="C5" s="1" t="s">
        <v>11</v>
      </c>
      <c r="D5" s="1" t="s">
        <v>55</v>
      </c>
      <c r="E5" s="2"/>
    </row>
    <row r="6" spans="1:6" ht="15.75" x14ac:dyDescent="0.25">
      <c r="A6" s="1" t="s">
        <v>96</v>
      </c>
      <c r="B6" s="1" t="s">
        <v>93</v>
      </c>
      <c r="C6" s="1" t="s">
        <v>7</v>
      </c>
      <c r="D6" s="1" t="s">
        <v>97</v>
      </c>
      <c r="E6" s="2">
        <v>7.5</v>
      </c>
      <c r="F6" s="1" t="s">
        <v>98</v>
      </c>
    </row>
    <row r="7" spans="1:6" ht="15.75" x14ac:dyDescent="0.25">
      <c r="A7" s="1" t="s">
        <v>99</v>
      </c>
      <c r="B7" s="1" t="s">
        <v>93</v>
      </c>
      <c r="C7" s="1" t="s">
        <v>11</v>
      </c>
      <c r="D7" s="1" t="s">
        <v>97</v>
      </c>
      <c r="E7" s="2"/>
    </row>
    <row r="8" spans="1:6" ht="15.75" x14ac:dyDescent="0.25">
      <c r="A8" s="1" t="s">
        <v>100</v>
      </c>
      <c r="B8" s="1" t="s">
        <v>93</v>
      </c>
      <c r="C8" s="1" t="s">
        <v>7</v>
      </c>
      <c r="D8" s="1" t="s">
        <v>8</v>
      </c>
      <c r="E8" s="2">
        <v>7.5</v>
      </c>
      <c r="F8" s="1" t="s">
        <v>98</v>
      </c>
    </row>
    <row r="9" spans="1:6" ht="15.75" x14ac:dyDescent="0.25">
      <c r="A9" s="1" t="s">
        <v>101</v>
      </c>
      <c r="B9" s="1" t="s">
        <v>93</v>
      </c>
      <c r="C9" s="1" t="s">
        <v>11</v>
      </c>
      <c r="D9" s="1" t="s">
        <v>8</v>
      </c>
      <c r="E9" s="2"/>
    </row>
    <row r="10" spans="1:6" ht="15.75" x14ac:dyDescent="0.25">
      <c r="A10" s="1" t="s">
        <v>102</v>
      </c>
      <c r="B10" s="1" t="s">
        <v>93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103</v>
      </c>
      <c r="B11" s="1" t="s">
        <v>93</v>
      </c>
      <c r="C11" s="1" t="s">
        <v>11</v>
      </c>
      <c r="D11" s="1" t="s">
        <v>13</v>
      </c>
      <c r="E11" s="2"/>
    </row>
    <row r="12" spans="1:6" ht="15.75" x14ac:dyDescent="0.25">
      <c r="A12" s="1" t="s">
        <v>104</v>
      </c>
      <c r="B12" s="1" t="s">
        <v>93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105</v>
      </c>
      <c r="B13" s="1" t="s">
        <v>93</v>
      </c>
      <c r="C13" s="1" t="s">
        <v>11</v>
      </c>
      <c r="D13" s="1" t="s">
        <v>13</v>
      </c>
      <c r="E13" s="2"/>
    </row>
    <row r="14" spans="1:6" ht="15.75" x14ac:dyDescent="0.25">
      <c r="A14" s="1" t="s">
        <v>106</v>
      </c>
      <c r="B14" s="1" t="s">
        <v>93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107</v>
      </c>
      <c r="B15" s="1" t="s">
        <v>93</v>
      </c>
      <c r="C15" s="1" t="s">
        <v>11</v>
      </c>
      <c r="D15" s="1" t="s">
        <v>13</v>
      </c>
      <c r="E15" s="2"/>
    </row>
    <row r="16" spans="1:6" ht="15.75" x14ac:dyDescent="0.25">
      <c r="A16" s="1" t="s">
        <v>108</v>
      </c>
      <c r="B16" s="1" t="s">
        <v>93</v>
      </c>
      <c r="C16" s="1" t="s">
        <v>7</v>
      </c>
      <c r="D16" s="1" t="s">
        <v>13</v>
      </c>
      <c r="E16" s="2">
        <v>10</v>
      </c>
    </row>
    <row r="17" spans="1:5" ht="15.75" x14ac:dyDescent="0.25">
      <c r="A17" s="1" t="s">
        <v>79</v>
      </c>
      <c r="B17" s="1" t="s">
        <v>93</v>
      </c>
      <c r="C17" s="1" t="s">
        <v>11</v>
      </c>
      <c r="D17" s="1" t="s">
        <v>13</v>
      </c>
      <c r="E17" s="2"/>
    </row>
    <row r="18" spans="1:5" ht="15.75" x14ac:dyDescent="0.25">
      <c r="A18" s="1" t="s">
        <v>109</v>
      </c>
      <c r="B18" s="1" t="s">
        <v>93</v>
      </c>
      <c r="C18" s="1" t="s">
        <v>7</v>
      </c>
      <c r="D18" s="1" t="s">
        <v>13</v>
      </c>
      <c r="E18" s="2">
        <v>5</v>
      </c>
    </row>
    <row r="19" spans="1:5" ht="15.75" x14ac:dyDescent="0.25">
      <c r="A19" s="1" t="s">
        <v>25</v>
      </c>
      <c r="B19" s="1" t="s">
        <v>93</v>
      </c>
      <c r="C19" s="1" t="s">
        <v>11</v>
      </c>
      <c r="D19" s="1" t="s">
        <v>13</v>
      </c>
      <c r="E19" s="2"/>
    </row>
    <row r="20" spans="1:5" ht="15.75" x14ac:dyDescent="0.25">
      <c r="A20" s="1" t="s">
        <v>110</v>
      </c>
      <c r="B20" s="1" t="s">
        <v>93</v>
      </c>
      <c r="C20" s="1" t="s">
        <v>7</v>
      </c>
      <c r="D20" s="1" t="s">
        <v>97</v>
      </c>
      <c r="E20" s="2">
        <v>5</v>
      </c>
    </row>
    <row r="21" spans="1:5" ht="15.75" customHeight="1" x14ac:dyDescent="0.25">
      <c r="A21" s="1" t="s">
        <v>27</v>
      </c>
      <c r="B21" s="1" t="s">
        <v>93</v>
      </c>
      <c r="C21" s="1" t="s">
        <v>11</v>
      </c>
      <c r="D21" s="1" t="s">
        <v>97</v>
      </c>
      <c r="E21" s="2"/>
    </row>
    <row r="22" spans="1:5" ht="15.75" customHeight="1" x14ac:dyDescent="0.25">
      <c r="A22" s="1" t="s">
        <v>111</v>
      </c>
      <c r="B22" s="1" t="s">
        <v>93</v>
      </c>
      <c r="C22" s="1" t="s">
        <v>7</v>
      </c>
      <c r="D22" s="1" t="s">
        <v>97</v>
      </c>
      <c r="E22" s="2">
        <v>5</v>
      </c>
    </row>
    <row r="23" spans="1:5" ht="15.75" customHeight="1" x14ac:dyDescent="0.25">
      <c r="A23" s="1" t="s">
        <v>112</v>
      </c>
      <c r="B23" s="1" t="s">
        <v>93</v>
      </c>
      <c r="C23" s="1" t="s">
        <v>11</v>
      </c>
      <c r="D23" s="1" t="s">
        <v>97</v>
      </c>
      <c r="E23" s="2"/>
    </row>
    <row r="24" spans="1:5" ht="15.75" customHeight="1" x14ac:dyDescent="0.25">
      <c r="A24" s="1" t="s">
        <v>81</v>
      </c>
      <c r="B24" s="1" t="s">
        <v>93</v>
      </c>
      <c r="C24" s="1" t="s">
        <v>7</v>
      </c>
      <c r="D24" s="1" t="s">
        <v>8</v>
      </c>
      <c r="E24" s="2">
        <v>5</v>
      </c>
    </row>
    <row r="25" spans="1:5" ht="15.75" customHeight="1" x14ac:dyDescent="0.25">
      <c r="A25" s="1" t="s">
        <v>113</v>
      </c>
      <c r="B25" s="1" t="s">
        <v>93</v>
      </c>
      <c r="C25" s="1" t="s">
        <v>11</v>
      </c>
      <c r="D25" s="1" t="s">
        <v>8</v>
      </c>
      <c r="E25" s="2"/>
    </row>
    <row r="26" spans="1:5" ht="15.75" customHeight="1" x14ac:dyDescent="0.25">
      <c r="A26" s="1" t="s">
        <v>114</v>
      </c>
      <c r="B26" s="1" t="s">
        <v>93</v>
      </c>
      <c r="C26" s="1" t="s">
        <v>7</v>
      </c>
      <c r="D26" s="1" t="s">
        <v>97</v>
      </c>
      <c r="E26" s="2">
        <v>5</v>
      </c>
    </row>
    <row r="27" spans="1:5" ht="15.75" customHeight="1" x14ac:dyDescent="0.25">
      <c r="A27" s="1" t="s">
        <v>115</v>
      </c>
      <c r="B27" s="1" t="s">
        <v>93</v>
      </c>
      <c r="C27" s="1" t="s">
        <v>11</v>
      </c>
      <c r="D27" s="1" t="s">
        <v>97</v>
      </c>
      <c r="E27" s="2"/>
    </row>
    <row r="28" spans="1:5" ht="15.75" customHeight="1" x14ac:dyDescent="0.25">
      <c r="A28" s="1" t="s">
        <v>116</v>
      </c>
      <c r="B28" s="1" t="s">
        <v>93</v>
      </c>
      <c r="C28" s="1" t="s">
        <v>7</v>
      </c>
      <c r="D28" s="1" t="s">
        <v>55</v>
      </c>
      <c r="E28" s="2">
        <v>4</v>
      </c>
    </row>
    <row r="29" spans="1:5" ht="15.75" customHeight="1" x14ac:dyDescent="0.25">
      <c r="A29" s="1" t="s">
        <v>29</v>
      </c>
      <c r="B29" s="1" t="s">
        <v>93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117</v>
      </c>
      <c r="B30" s="1" t="s">
        <v>93</v>
      </c>
      <c r="C30" s="1" t="s">
        <v>7</v>
      </c>
      <c r="D30" s="1" t="s">
        <v>13</v>
      </c>
      <c r="E30" s="2">
        <v>5</v>
      </c>
    </row>
    <row r="31" spans="1:5" ht="15.75" customHeight="1" x14ac:dyDescent="0.25">
      <c r="A31" s="1" t="s">
        <v>118</v>
      </c>
      <c r="B31" s="1" t="s">
        <v>93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119</v>
      </c>
      <c r="B32" s="1" t="s">
        <v>93</v>
      </c>
      <c r="C32" s="1" t="s">
        <v>7</v>
      </c>
      <c r="D32" s="1" t="s">
        <v>13</v>
      </c>
      <c r="E32" s="2">
        <v>5</v>
      </c>
    </row>
    <row r="33" spans="1:5" ht="15.75" customHeight="1" x14ac:dyDescent="0.25">
      <c r="A33" s="1" t="s">
        <v>120</v>
      </c>
      <c r="B33" s="1" t="s">
        <v>93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121</v>
      </c>
      <c r="B34" s="1" t="s">
        <v>93</v>
      </c>
      <c r="C34" s="1" t="s">
        <v>7</v>
      </c>
      <c r="D34" s="1" t="s">
        <v>55</v>
      </c>
      <c r="E34" s="2">
        <v>5</v>
      </c>
    </row>
    <row r="35" spans="1:5" ht="15.75" customHeight="1" x14ac:dyDescent="0.25">
      <c r="A35" s="1" t="s">
        <v>122</v>
      </c>
      <c r="B35" s="1" t="s">
        <v>93</v>
      </c>
      <c r="C35" s="1" t="s">
        <v>11</v>
      </c>
      <c r="D35" s="1" t="s">
        <v>55</v>
      </c>
      <c r="E35" s="2"/>
    </row>
    <row r="36" spans="1:5" ht="15.75" customHeight="1" x14ac:dyDescent="0.25">
      <c r="A36" s="1" t="s">
        <v>123</v>
      </c>
      <c r="B36" s="1" t="s">
        <v>93</v>
      </c>
      <c r="C36" s="1" t="s">
        <v>7</v>
      </c>
      <c r="D36" s="1" t="s">
        <v>97</v>
      </c>
      <c r="E36" s="2">
        <v>4</v>
      </c>
    </row>
    <row r="37" spans="1:5" ht="15.75" customHeight="1" x14ac:dyDescent="0.25">
      <c r="A37" s="1" t="s">
        <v>124</v>
      </c>
      <c r="B37" s="1" t="s">
        <v>93</v>
      </c>
      <c r="C37" s="1" t="s">
        <v>11</v>
      </c>
      <c r="D37" s="1" t="s">
        <v>97</v>
      </c>
      <c r="E37" s="2"/>
    </row>
    <row r="38" spans="1:5" ht="15.75" customHeight="1" x14ac:dyDescent="0.25">
      <c r="A38" s="1" t="s">
        <v>125</v>
      </c>
      <c r="B38" s="1" t="s">
        <v>93</v>
      </c>
      <c r="C38" s="1" t="s">
        <v>7</v>
      </c>
      <c r="D38" s="1" t="s">
        <v>97</v>
      </c>
      <c r="E38" s="2">
        <v>5</v>
      </c>
    </row>
    <row r="39" spans="1:5" ht="15.75" customHeight="1" x14ac:dyDescent="0.25">
      <c r="A39" s="1" t="s">
        <v>126</v>
      </c>
      <c r="B39" s="1" t="s">
        <v>93</v>
      </c>
      <c r="C39" s="1" t="s">
        <v>11</v>
      </c>
      <c r="D39" s="1" t="s">
        <v>97</v>
      </c>
      <c r="E39" s="2"/>
    </row>
    <row r="40" spans="1:5" ht="15.75" customHeight="1" x14ac:dyDescent="0.25">
      <c r="A40" s="1" t="s">
        <v>127</v>
      </c>
      <c r="B40" s="1" t="s">
        <v>93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128</v>
      </c>
      <c r="B41" s="1" t="s">
        <v>93</v>
      </c>
      <c r="C41" s="1" t="s">
        <v>11</v>
      </c>
      <c r="D41" s="1" t="s">
        <v>13</v>
      </c>
      <c r="E41" s="2"/>
    </row>
    <row r="42" spans="1:5" ht="15.75" customHeight="1" x14ac:dyDescent="0.25">
      <c r="A42" s="1" t="s">
        <v>44</v>
      </c>
      <c r="B42" s="1" t="s">
        <v>93</v>
      </c>
      <c r="C42" s="1" t="s">
        <v>7</v>
      </c>
      <c r="D42" s="1" t="s">
        <v>13</v>
      </c>
      <c r="E42" s="2">
        <v>5</v>
      </c>
    </row>
    <row r="43" spans="1:5" ht="15.75" customHeight="1" x14ac:dyDescent="0.25">
      <c r="A43" s="1" t="s">
        <v>129</v>
      </c>
      <c r="B43" s="1" t="s">
        <v>93</v>
      </c>
      <c r="C43" s="1" t="s">
        <v>11</v>
      </c>
      <c r="D43" s="1" t="s">
        <v>13</v>
      </c>
      <c r="E43" s="2"/>
    </row>
    <row r="44" spans="1:5" ht="15.75" customHeight="1" x14ac:dyDescent="0.25">
      <c r="A44" s="1" t="s">
        <v>130</v>
      </c>
      <c r="B44" s="1" t="s">
        <v>93</v>
      </c>
      <c r="C44" s="1" t="s">
        <v>7</v>
      </c>
      <c r="D44" s="1" t="s">
        <v>13</v>
      </c>
      <c r="E44" s="2">
        <v>10</v>
      </c>
    </row>
    <row r="45" spans="1:5" ht="15.75" customHeight="1" x14ac:dyDescent="0.25">
      <c r="A45" s="1" t="s">
        <v>131</v>
      </c>
      <c r="B45" s="1" t="s">
        <v>93</v>
      </c>
      <c r="C45" s="1" t="s">
        <v>11</v>
      </c>
      <c r="D45" s="1" t="s">
        <v>13</v>
      </c>
      <c r="E45" s="2"/>
    </row>
    <row r="46" spans="1:5" ht="15.75" customHeight="1" x14ac:dyDescent="0.25">
      <c r="A46" s="1" t="s">
        <v>132</v>
      </c>
      <c r="B46" s="1" t="s">
        <v>93</v>
      </c>
      <c r="C46" s="1" t="s">
        <v>7</v>
      </c>
      <c r="D46" s="1" t="s">
        <v>97</v>
      </c>
      <c r="E46" s="2">
        <v>5</v>
      </c>
    </row>
    <row r="47" spans="1:5" ht="15.75" customHeight="1" x14ac:dyDescent="0.25">
      <c r="A47" s="1" t="s">
        <v>133</v>
      </c>
      <c r="B47" s="1" t="s">
        <v>93</v>
      </c>
      <c r="C47" s="1" t="s">
        <v>11</v>
      </c>
      <c r="D47" s="1" t="s">
        <v>97</v>
      </c>
      <c r="E47" s="2"/>
    </row>
    <row r="48" spans="1:5" ht="15.75" customHeight="1" x14ac:dyDescent="0.25">
      <c r="A48" s="1" t="s">
        <v>134</v>
      </c>
      <c r="B48" s="1" t="s">
        <v>93</v>
      </c>
      <c r="C48" s="1" t="s">
        <v>7</v>
      </c>
      <c r="D48" s="1" t="s">
        <v>8</v>
      </c>
      <c r="E48" s="2">
        <v>5</v>
      </c>
    </row>
    <row r="49" spans="1:5" ht="15.75" customHeight="1" x14ac:dyDescent="0.25">
      <c r="A49" s="1" t="s">
        <v>135</v>
      </c>
      <c r="B49" s="1" t="s">
        <v>93</v>
      </c>
      <c r="C49" s="1" t="s">
        <v>11</v>
      </c>
      <c r="D49" s="1" t="s">
        <v>8</v>
      </c>
      <c r="E49" s="2"/>
    </row>
    <row r="50" spans="1:5" ht="15.75" customHeight="1" x14ac:dyDescent="0.25">
      <c r="A50" s="1" t="s">
        <v>136</v>
      </c>
      <c r="B50" s="1" t="s">
        <v>93</v>
      </c>
      <c r="C50" s="1" t="s">
        <v>7</v>
      </c>
      <c r="D50" s="1" t="s">
        <v>13</v>
      </c>
      <c r="E50" s="2">
        <v>5</v>
      </c>
    </row>
    <row r="51" spans="1:5" ht="15.75" customHeight="1" x14ac:dyDescent="0.25">
      <c r="A51" s="1" t="s">
        <v>137</v>
      </c>
      <c r="B51" s="1" t="s">
        <v>93</v>
      </c>
      <c r="C51" s="1" t="s">
        <v>11</v>
      </c>
      <c r="D51" s="1" t="s">
        <v>13</v>
      </c>
      <c r="E51" s="2"/>
    </row>
    <row r="52" spans="1:5" ht="15.75" customHeight="1" x14ac:dyDescent="0.25">
      <c r="A52" s="1" t="s">
        <v>138</v>
      </c>
      <c r="E52" s="2">
        <v>5</v>
      </c>
    </row>
    <row r="53" spans="1:5" ht="15.75" customHeight="1" x14ac:dyDescent="0.25">
      <c r="A53" s="1" t="s">
        <v>53</v>
      </c>
      <c r="B53" s="1" t="s">
        <v>93</v>
      </c>
      <c r="C53" s="1" t="s">
        <v>11</v>
      </c>
      <c r="D53" s="1" t="s">
        <v>97</v>
      </c>
      <c r="E53" s="2"/>
    </row>
    <row r="54" spans="1:5" ht="15.75" customHeight="1" x14ac:dyDescent="0.25">
      <c r="A54" s="1" t="s">
        <v>139</v>
      </c>
      <c r="B54" s="1" t="s">
        <v>93</v>
      </c>
      <c r="C54" s="1" t="s">
        <v>7</v>
      </c>
      <c r="D54" s="1" t="s">
        <v>8</v>
      </c>
      <c r="E54" s="2">
        <v>5</v>
      </c>
    </row>
    <row r="55" spans="1:5" ht="15.75" customHeight="1" x14ac:dyDescent="0.25">
      <c r="A55" s="1" t="s">
        <v>140</v>
      </c>
      <c r="B55" s="1" t="s">
        <v>93</v>
      </c>
      <c r="C55" s="1" t="s">
        <v>11</v>
      </c>
      <c r="D55" s="1" t="s">
        <v>8</v>
      </c>
      <c r="E55" s="2"/>
    </row>
    <row r="56" spans="1:5" ht="15.75" customHeight="1" x14ac:dyDescent="0.25">
      <c r="A56" s="1" t="s">
        <v>141</v>
      </c>
      <c r="B56" s="1" t="s">
        <v>93</v>
      </c>
      <c r="C56" s="1" t="s">
        <v>7</v>
      </c>
      <c r="D56" s="1" t="s">
        <v>97</v>
      </c>
      <c r="E56" s="2">
        <v>5</v>
      </c>
    </row>
    <row r="57" spans="1:5" ht="15.75" customHeight="1" x14ac:dyDescent="0.25">
      <c r="A57" s="1" t="s">
        <v>142</v>
      </c>
      <c r="B57" s="1" t="s">
        <v>93</v>
      </c>
      <c r="C57" s="1" t="s">
        <v>11</v>
      </c>
      <c r="D57" s="1" t="s">
        <v>97</v>
      </c>
      <c r="E57" s="2"/>
    </row>
    <row r="58" spans="1:5" ht="15.75" customHeight="1" x14ac:dyDescent="0.25">
      <c r="D58" s="1" t="s">
        <v>61</v>
      </c>
      <c r="E58" s="3">
        <f>SUM(E2:E57)</f>
        <v>160.5</v>
      </c>
    </row>
    <row r="59" spans="1:5" ht="15.75" customHeight="1" x14ac:dyDescent="0.25">
      <c r="D59" s="1" t="s">
        <v>62</v>
      </c>
      <c r="E59" s="2">
        <v>15000</v>
      </c>
    </row>
    <row r="60" spans="1:5" ht="15.75" customHeight="1" x14ac:dyDescent="0.25">
      <c r="D60" s="1" t="s">
        <v>63</v>
      </c>
      <c r="E60" s="1">
        <f>E58*E59</f>
        <v>2407500</v>
      </c>
    </row>
    <row r="61" spans="1:5" ht="15.75" customHeight="1" x14ac:dyDescent="0.25">
      <c r="D61" s="1" t="s">
        <v>64</v>
      </c>
      <c r="E61" s="2">
        <v>0</v>
      </c>
    </row>
    <row r="62" spans="1:5" ht="15.75" customHeight="1" x14ac:dyDescent="0.25">
      <c r="D62" s="1" t="s">
        <v>65</v>
      </c>
      <c r="E62" s="2">
        <v>0</v>
      </c>
    </row>
    <row r="63" spans="1:5" ht="15.75" customHeight="1" x14ac:dyDescent="0.25">
      <c r="D63" s="1" t="s">
        <v>66</v>
      </c>
      <c r="E63" s="2">
        <v>0</v>
      </c>
    </row>
    <row r="64" spans="1:5" ht="15.75" customHeight="1" x14ac:dyDescent="0.25">
      <c r="D64" s="1" t="s">
        <v>67</v>
      </c>
      <c r="E64" s="2">
        <v>0</v>
      </c>
    </row>
    <row r="65" spans="1:5" ht="15.75" customHeight="1" x14ac:dyDescent="0.25">
      <c r="A65" t="s">
        <v>760</v>
      </c>
      <c r="B65">
        <v>1440092290</v>
      </c>
      <c r="D65" s="1" t="s">
        <v>68</v>
      </c>
      <c r="E65" s="2">
        <v>0</v>
      </c>
    </row>
    <row r="66" spans="1:5" ht="15.75" customHeight="1" x14ac:dyDescent="0.25">
      <c r="A66" t="s">
        <v>761</v>
      </c>
      <c r="B66" t="s">
        <v>762</v>
      </c>
      <c r="D66" s="1" t="s">
        <v>69</v>
      </c>
      <c r="E66" s="3">
        <f>E60 - SUM(E61:E65)</f>
        <v>2407500</v>
      </c>
    </row>
    <row r="67" spans="1:5" ht="15.75" customHeight="1" x14ac:dyDescent="0.25"/>
    <row r="68" spans="1:5" ht="15.75" customHeight="1" x14ac:dyDescent="0.25"/>
    <row r="69" spans="1:5" ht="15.75" customHeight="1" x14ac:dyDescent="0.25"/>
    <row r="70" spans="1:5" ht="15.75" customHeight="1" x14ac:dyDescent="0.25"/>
    <row r="71" spans="1:5" ht="15.75" customHeight="1" x14ac:dyDescent="0.25"/>
    <row r="72" spans="1:5" ht="15.75" customHeight="1" x14ac:dyDescent="0.25"/>
    <row r="73" spans="1:5" ht="15.75" customHeight="1" x14ac:dyDescent="0.25"/>
    <row r="74" spans="1:5" ht="15.75" customHeight="1" x14ac:dyDescent="0.25"/>
    <row r="75" spans="1:5" ht="15.75" customHeight="1" x14ac:dyDescent="0.25"/>
    <row r="76" spans="1:5" ht="15.75" customHeight="1" x14ac:dyDescent="0.25"/>
    <row r="77" spans="1:5" ht="15.75" customHeight="1" x14ac:dyDescent="0.25"/>
    <row r="78" spans="1:5" ht="15.75" customHeight="1" x14ac:dyDescent="0.25"/>
    <row r="79" spans="1:5" ht="15.75" customHeight="1" x14ac:dyDescent="0.25"/>
    <row r="80" spans="1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8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143</v>
      </c>
      <c r="B2" s="1" t="s">
        <v>144</v>
      </c>
      <c r="C2" s="1" t="s">
        <v>7</v>
      </c>
      <c r="D2" s="1" t="s">
        <v>55</v>
      </c>
      <c r="E2" s="2">
        <v>10</v>
      </c>
      <c r="F2" s="1" t="s">
        <v>72</v>
      </c>
    </row>
    <row r="3" spans="1:6" ht="15.75" x14ac:dyDescent="0.25">
      <c r="A3" s="1" t="s">
        <v>145</v>
      </c>
      <c r="B3" s="1" t="s">
        <v>144</v>
      </c>
      <c r="C3" s="1" t="s">
        <v>11</v>
      </c>
      <c r="D3" s="1" t="s">
        <v>55</v>
      </c>
      <c r="E3" s="2"/>
    </row>
    <row r="4" spans="1:6" ht="15.75" x14ac:dyDescent="0.25">
      <c r="A4" s="1" t="s">
        <v>146</v>
      </c>
      <c r="B4" s="1" t="s">
        <v>144</v>
      </c>
      <c r="C4" s="1" t="s">
        <v>7</v>
      </c>
      <c r="D4" s="1" t="s">
        <v>13</v>
      </c>
      <c r="E4" s="2">
        <v>10</v>
      </c>
      <c r="F4" s="1" t="s">
        <v>72</v>
      </c>
    </row>
    <row r="5" spans="1:6" ht="15.75" x14ac:dyDescent="0.25">
      <c r="A5" s="1" t="s">
        <v>147</v>
      </c>
      <c r="B5" s="1" t="s">
        <v>144</v>
      </c>
      <c r="C5" s="1" t="s">
        <v>11</v>
      </c>
      <c r="D5" s="1" t="s">
        <v>13</v>
      </c>
      <c r="E5" s="2"/>
    </row>
    <row r="6" spans="1:6" ht="15.75" x14ac:dyDescent="0.25">
      <c r="A6" s="1" t="s">
        <v>148</v>
      </c>
      <c r="B6" s="1" t="s">
        <v>144</v>
      </c>
      <c r="C6" s="1" t="s">
        <v>7</v>
      </c>
      <c r="D6" s="1" t="s">
        <v>55</v>
      </c>
      <c r="E6" s="2">
        <v>15</v>
      </c>
      <c r="F6" s="1" t="s">
        <v>149</v>
      </c>
    </row>
    <row r="7" spans="1:6" ht="15.75" x14ac:dyDescent="0.25">
      <c r="A7" s="1" t="s">
        <v>150</v>
      </c>
      <c r="B7" s="1" t="s">
        <v>144</v>
      </c>
      <c r="C7" s="1" t="s">
        <v>11</v>
      </c>
      <c r="D7" s="1" t="s">
        <v>55</v>
      </c>
      <c r="E7" s="2"/>
    </row>
    <row r="8" spans="1:6" ht="15.75" x14ac:dyDescent="0.25">
      <c r="A8" s="1" t="s">
        <v>151</v>
      </c>
      <c r="B8" s="1" t="s">
        <v>144</v>
      </c>
      <c r="C8" s="1" t="s">
        <v>7</v>
      </c>
      <c r="D8" s="1" t="s">
        <v>55</v>
      </c>
      <c r="E8" s="2">
        <v>7.5</v>
      </c>
      <c r="F8" s="1" t="s">
        <v>149</v>
      </c>
    </row>
    <row r="9" spans="1:6" ht="15.75" x14ac:dyDescent="0.25">
      <c r="A9" s="1" t="s">
        <v>152</v>
      </c>
      <c r="B9" s="1" t="s">
        <v>144</v>
      </c>
      <c r="C9" s="1" t="s">
        <v>11</v>
      </c>
      <c r="D9" s="1" t="s">
        <v>55</v>
      </c>
      <c r="E9" s="2"/>
    </row>
    <row r="10" spans="1:6" ht="15.75" x14ac:dyDescent="0.25">
      <c r="A10" s="1" t="s">
        <v>153</v>
      </c>
      <c r="B10" s="1" t="s">
        <v>144</v>
      </c>
      <c r="C10" s="1" t="s">
        <v>7</v>
      </c>
      <c r="D10" s="1" t="s">
        <v>8</v>
      </c>
      <c r="E10" s="2">
        <v>7.5</v>
      </c>
      <c r="F10" s="1" t="s">
        <v>149</v>
      </c>
    </row>
    <row r="11" spans="1:6" ht="15.75" x14ac:dyDescent="0.25">
      <c r="A11" s="1" t="s">
        <v>154</v>
      </c>
      <c r="B11" s="1" t="s">
        <v>144</v>
      </c>
      <c r="C11" s="1" t="s">
        <v>11</v>
      </c>
      <c r="D11" s="1" t="s">
        <v>8</v>
      </c>
      <c r="E11" s="2"/>
    </row>
    <row r="12" spans="1:6" ht="15.75" x14ac:dyDescent="0.25">
      <c r="A12" s="1" t="s">
        <v>155</v>
      </c>
      <c r="B12" s="1" t="s">
        <v>144</v>
      </c>
      <c r="C12" s="1" t="s">
        <v>7</v>
      </c>
      <c r="D12" s="1" t="s">
        <v>55</v>
      </c>
      <c r="E12" s="2">
        <v>7.5</v>
      </c>
      <c r="F12" s="1" t="s">
        <v>149</v>
      </c>
    </row>
    <row r="13" spans="1:6" ht="15.75" x14ac:dyDescent="0.25">
      <c r="A13" s="1" t="s">
        <v>156</v>
      </c>
      <c r="B13" s="1" t="s">
        <v>144</v>
      </c>
      <c r="C13" s="1" t="s">
        <v>11</v>
      </c>
      <c r="D13" s="1" t="s">
        <v>55</v>
      </c>
      <c r="E13" s="2"/>
    </row>
    <row r="14" spans="1:6" ht="15.75" x14ac:dyDescent="0.25">
      <c r="A14" s="1" t="s">
        <v>157</v>
      </c>
      <c r="B14" s="1" t="s">
        <v>144</v>
      </c>
      <c r="C14" s="1" t="s">
        <v>7</v>
      </c>
      <c r="D14" s="1" t="s">
        <v>55</v>
      </c>
      <c r="E14" s="2">
        <v>10</v>
      </c>
    </row>
    <row r="15" spans="1:6" ht="15.75" x14ac:dyDescent="0.25">
      <c r="A15" s="1" t="s">
        <v>158</v>
      </c>
      <c r="B15" s="1" t="s">
        <v>144</v>
      </c>
      <c r="C15" s="1" t="s">
        <v>11</v>
      </c>
      <c r="D15" s="1" t="s">
        <v>55</v>
      </c>
      <c r="E15" s="2"/>
    </row>
    <row r="16" spans="1:6" ht="15.75" x14ac:dyDescent="0.25">
      <c r="A16" s="1" t="s">
        <v>159</v>
      </c>
      <c r="B16" s="1" t="s">
        <v>144</v>
      </c>
      <c r="C16" s="1" t="s">
        <v>7</v>
      </c>
      <c r="D16" s="1" t="s">
        <v>13</v>
      </c>
      <c r="E16" s="2">
        <v>10</v>
      </c>
    </row>
    <row r="17" spans="1:5" ht="15.75" x14ac:dyDescent="0.25">
      <c r="A17" s="1" t="s">
        <v>160</v>
      </c>
      <c r="B17" s="1" t="s">
        <v>144</v>
      </c>
      <c r="C17" s="1" t="s">
        <v>11</v>
      </c>
      <c r="D17" s="1" t="s">
        <v>13</v>
      </c>
      <c r="E17" s="2"/>
    </row>
    <row r="18" spans="1:5" ht="15.75" x14ac:dyDescent="0.25">
      <c r="A18" s="1" t="s">
        <v>161</v>
      </c>
      <c r="B18" s="1" t="s">
        <v>144</v>
      </c>
      <c r="C18" s="1" t="s">
        <v>7</v>
      </c>
      <c r="D18" s="1" t="s">
        <v>55</v>
      </c>
      <c r="E18" s="2">
        <v>5</v>
      </c>
    </row>
    <row r="19" spans="1:5" ht="15.75" customHeight="1" x14ac:dyDescent="0.25">
      <c r="A19" s="1" t="s">
        <v>162</v>
      </c>
      <c r="B19" s="1" t="s">
        <v>144</v>
      </c>
      <c r="C19" s="1" t="s">
        <v>11</v>
      </c>
      <c r="D19" s="1" t="s">
        <v>55</v>
      </c>
      <c r="E19" s="2"/>
    </row>
    <row r="20" spans="1:5" ht="15.75" customHeight="1" x14ac:dyDescent="0.25">
      <c r="A20" s="1" t="s">
        <v>163</v>
      </c>
      <c r="B20" s="1" t="s">
        <v>144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77</v>
      </c>
      <c r="B21" s="1" t="s">
        <v>144</v>
      </c>
      <c r="C21" s="1" t="s">
        <v>11</v>
      </c>
      <c r="D21" s="1" t="s">
        <v>13</v>
      </c>
      <c r="E21" s="2"/>
    </row>
    <row r="22" spans="1:5" ht="15.75" customHeight="1" x14ac:dyDescent="0.25">
      <c r="D22" s="1" t="s">
        <v>61</v>
      </c>
      <c r="E22" s="3">
        <f>SUM(E2:E21)</f>
        <v>87.5</v>
      </c>
    </row>
    <row r="23" spans="1:5" ht="15.75" customHeight="1" x14ac:dyDescent="0.25">
      <c r="D23" s="1" t="s">
        <v>62</v>
      </c>
      <c r="E23" s="2">
        <v>15000</v>
      </c>
    </row>
    <row r="24" spans="1:5" ht="15.75" customHeight="1" x14ac:dyDescent="0.25">
      <c r="D24" s="1" t="s">
        <v>63</v>
      </c>
      <c r="E24" s="1">
        <f>E22*E23</f>
        <v>1312500</v>
      </c>
    </row>
    <row r="25" spans="1:5" ht="15.75" customHeight="1" x14ac:dyDescent="0.25">
      <c r="D25" s="1" t="s">
        <v>64</v>
      </c>
      <c r="E25" s="2">
        <v>1000000</v>
      </c>
    </row>
    <row r="26" spans="1:5" ht="15.75" customHeight="1" x14ac:dyDescent="0.25">
      <c r="D26" s="1" t="s">
        <v>65</v>
      </c>
      <c r="E26" s="2">
        <v>0</v>
      </c>
    </row>
    <row r="27" spans="1:5" ht="15.75" customHeight="1" x14ac:dyDescent="0.25">
      <c r="D27" s="1" t="s">
        <v>66</v>
      </c>
      <c r="E27" s="2">
        <v>0</v>
      </c>
    </row>
    <row r="28" spans="1:5" ht="15.75" customHeight="1" x14ac:dyDescent="0.25">
      <c r="D28" s="1" t="s">
        <v>67</v>
      </c>
      <c r="E28" s="2">
        <v>0</v>
      </c>
    </row>
    <row r="29" spans="1:5" ht="15.75" customHeight="1" x14ac:dyDescent="0.25">
      <c r="D29" s="1" t="s">
        <v>68</v>
      </c>
      <c r="E29" s="2">
        <v>0</v>
      </c>
    </row>
    <row r="30" spans="1:5" ht="15.75" customHeight="1" x14ac:dyDescent="0.25">
      <c r="D30" s="1" t="s">
        <v>69</v>
      </c>
      <c r="E30" s="3">
        <f>E24 - SUM(E25:E29)</f>
        <v>312500</v>
      </c>
    </row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164</v>
      </c>
      <c r="B2" s="1" t="s">
        <v>165</v>
      </c>
      <c r="C2" s="1" t="s">
        <v>7</v>
      </c>
      <c r="D2" s="1" t="s">
        <v>55</v>
      </c>
      <c r="E2" s="2">
        <v>10</v>
      </c>
      <c r="F2" s="1" t="s">
        <v>72</v>
      </c>
    </row>
    <row r="3" spans="1:6" ht="15.75" x14ac:dyDescent="0.25">
      <c r="A3" s="1" t="s">
        <v>73</v>
      </c>
      <c r="B3" s="1" t="s">
        <v>165</v>
      </c>
      <c r="C3" s="1" t="s">
        <v>11</v>
      </c>
      <c r="D3" s="1" t="s">
        <v>55</v>
      </c>
      <c r="E3" s="2"/>
    </row>
    <row r="4" spans="1:6" ht="15.75" x14ac:dyDescent="0.25">
      <c r="A4" s="1" t="s">
        <v>166</v>
      </c>
      <c r="B4" s="1" t="s">
        <v>165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167</v>
      </c>
      <c r="B5" s="1" t="s">
        <v>165</v>
      </c>
      <c r="C5" s="1" t="s">
        <v>11</v>
      </c>
      <c r="D5" s="1" t="s">
        <v>55</v>
      </c>
      <c r="E5" s="2"/>
    </row>
    <row r="6" spans="1:6" ht="15.75" x14ac:dyDescent="0.25">
      <c r="A6" s="1" t="s">
        <v>168</v>
      </c>
      <c r="B6" s="1" t="s">
        <v>165</v>
      </c>
      <c r="C6" s="1" t="s">
        <v>7</v>
      </c>
      <c r="D6" s="1" t="s">
        <v>55</v>
      </c>
      <c r="E6" s="2">
        <v>7.5</v>
      </c>
      <c r="F6" s="1" t="s">
        <v>95</v>
      </c>
    </row>
    <row r="7" spans="1:6" ht="15.75" x14ac:dyDescent="0.25">
      <c r="A7" s="1" t="s">
        <v>169</v>
      </c>
      <c r="B7" s="1" t="s">
        <v>165</v>
      </c>
      <c r="C7" s="1" t="s">
        <v>11</v>
      </c>
      <c r="D7" s="1" t="s">
        <v>55</v>
      </c>
      <c r="E7" s="2"/>
    </row>
    <row r="8" spans="1:6" ht="15.75" x14ac:dyDescent="0.25">
      <c r="A8" s="1" t="s">
        <v>155</v>
      </c>
      <c r="B8" s="1" t="s">
        <v>165</v>
      </c>
      <c r="C8" s="1" t="s">
        <v>7</v>
      </c>
      <c r="D8" s="1" t="s">
        <v>55</v>
      </c>
      <c r="E8" s="2">
        <v>7.5</v>
      </c>
      <c r="F8" s="1" t="s">
        <v>95</v>
      </c>
    </row>
    <row r="9" spans="1:6" ht="15.75" x14ac:dyDescent="0.25">
      <c r="A9" s="1" t="s">
        <v>170</v>
      </c>
      <c r="B9" s="1" t="s">
        <v>165</v>
      </c>
      <c r="C9" s="1" t="s">
        <v>11</v>
      </c>
      <c r="D9" s="1" t="s">
        <v>55</v>
      </c>
      <c r="E9" s="2"/>
    </row>
    <row r="10" spans="1:6" ht="15.75" x14ac:dyDescent="0.25">
      <c r="A10" s="1" t="s">
        <v>171</v>
      </c>
      <c r="B10" s="1" t="s">
        <v>165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172</v>
      </c>
      <c r="B11" s="1" t="s">
        <v>165</v>
      </c>
      <c r="C11" s="1" t="s">
        <v>11</v>
      </c>
      <c r="D11" s="1" t="s">
        <v>13</v>
      </c>
      <c r="E11" s="2"/>
    </row>
    <row r="12" spans="1:6" ht="15.75" x14ac:dyDescent="0.25">
      <c r="A12" s="1" t="s">
        <v>173</v>
      </c>
      <c r="B12" s="1" t="s">
        <v>165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174</v>
      </c>
      <c r="B13" s="1" t="s">
        <v>165</v>
      </c>
      <c r="C13" s="1" t="s">
        <v>11</v>
      </c>
      <c r="D13" s="1" t="s">
        <v>13</v>
      </c>
      <c r="E13" s="2"/>
    </row>
    <row r="14" spans="1:6" ht="15.75" x14ac:dyDescent="0.25">
      <c r="A14" s="1" t="s">
        <v>175</v>
      </c>
      <c r="B14" s="1" t="s">
        <v>165</v>
      </c>
      <c r="C14" s="1" t="s">
        <v>7</v>
      </c>
      <c r="D14" s="1" t="s">
        <v>8</v>
      </c>
      <c r="E14" s="2">
        <v>5</v>
      </c>
    </row>
    <row r="15" spans="1:6" ht="15.75" x14ac:dyDescent="0.25">
      <c r="A15" s="1" t="s">
        <v>176</v>
      </c>
      <c r="B15" s="1" t="s">
        <v>165</v>
      </c>
      <c r="C15" s="1" t="s">
        <v>11</v>
      </c>
      <c r="D15" s="1" t="s">
        <v>8</v>
      </c>
      <c r="E15" s="2"/>
    </row>
    <row r="16" spans="1:6" ht="15.75" x14ac:dyDescent="0.25">
      <c r="A16" s="1" t="s">
        <v>177</v>
      </c>
      <c r="B16" s="1" t="s">
        <v>165</v>
      </c>
      <c r="C16" s="1" t="s">
        <v>7</v>
      </c>
      <c r="D16" s="1" t="s">
        <v>13</v>
      </c>
      <c r="E16" s="2">
        <v>5</v>
      </c>
    </row>
    <row r="17" spans="1:5" ht="15.75" x14ac:dyDescent="0.25">
      <c r="A17" s="1" t="s">
        <v>178</v>
      </c>
      <c r="B17" s="1" t="s">
        <v>165</v>
      </c>
      <c r="C17" s="1" t="s">
        <v>11</v>
      </c>
      <c r="D17" s="1" t="s">
        <v>13</v>
      </c>
      <c r="E17" s="2"/>
    </row>
    <row r="18" spans="1:5" ht="15.75" x14ac:dyDescent="0.25">
      <c r="A18" s="1" t="s">
        <v>179</v>
      </c>
      <c r="B18" s="1" t="s">
        <v>165</v>
      </c>
      <c r="C18" s="1" t="s">
        <v>7</v>
      </c>
      <c r="D18" s="1" t="s">
        <v>8</v>
      </c>
      <c r="E18" s="2">
        <v>5</v>
      </c>
    </row>
    <row r="19" spans="1:5" ht="15.75" x14ac:dyDescent="0.25">
      <c r="A19" s="1" t="s">
        <v>180</v>
      </c>
      <c r="B19" s="1" t="s">
        <v>165</v>
      </c>
      <c r="C19" s="1" t="s">
        <v>11</v>
      </c>
      <c r="D19" s="1" t="s">
        <v>8</v>
      </c>
      <c r="E19" s="2"/>
    </row>
    <row r="20" spans="1:5" ht="15.75" x14ac:dyDescent="0.25">
      <c r="A20" s="1" t="s">
        <v>181</v>
      </c>
      <c r="B20" s="1" t="s">
        <v>165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182</v>
      </c>
      <c r="B21" s="1" t="s">
        <v>165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183</v>
      </c>
      <c r="B22" s="1" t="s">
        <v>165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184</v>
      </c>
      <c r="B23" s="1" t="s">
        <v>165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185</v>
      </c>
      <c r="B24" s="1" t="s">
        <v>165</v>
      </c>
      <c r="C24" s="1" t="s">
        <v>7</v>
      </c>
      <c r="D24" s="1" t="s">
        <v>13</v>
      </c>
      <c r="E24" s="2">
        <v>5</v>
      </c>
    </row>
    <row r="25" spans="1:5" ht="15.75" customHeight="1" x14ac:dyDescent="0.25">
      <c r="A25" s="1" t="s">
        <v>186</v>
      </c>
      <c r="B25" s="1" t="s">
        <v>165</v>
      </c>
      <c r="C25" s="1" t="s">
        <v>11</v>
      </c>
      <c r="D25" s="1" t="s">
        <v>13</v>
      </c>
      <c r="E25" s="2"/>
    </row>
    <row r="26" spans="1:5" ht="15.75" customHeight="1" x14ac:dyDescent="0.25">
      <c r="A26" s="1" t="s">
        <v>187</v>
      </c>
      <c r="B26" s="1" t="s">
        <v>165</v>
      </c>
      <c r="C26" s="1" t="s">
        <v>7</v>
      </c>
      <c r="D26" s="1" t="s">
        <v>55</v>
      </c>
      <c r="E26" s="2">
        <v>5</v>
      </c>
    </row>
    <row r="27" spans="1:5" ht="15.75" customHeight="1" x14ac:dyDescent="0.25">
      <c r="A27" s="1" t="s">
        <v>188</v>
      </c>
      <c r="B27" s="1" t="s">
        <v>165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189</v>
      </c>
      <c r="B28" s="1" t="s">
        <v>165</v>
      </c>
      <c r="C28" s="1" t="s">
        <v>7</v>
      </c>
      <c r="D28" s="1" t="s">
        <v>13</v>
      </c>
      <c r="E28" s="2">
        <v>5</v>
      </c>
    </row>
    <row r="29" spans="1:5" ht="15.75" customHeight="1" x14ac:dyDescent="0.25">
      <c r="A29" s="1" t="s">
        <v>190</v>
      </c>
      <c r="B29" s="1" t="s">
        <v>165</v>
      </c>
      <c r="C29" s="1" t="s">
        <v>11</v>
      </c>
      <c r="D29" s="1" t="s">
        <v>13</v>
      </c>
      <c r="E29" s="2"/>
    </row>
    <row r="30" spans="1:5" ht="15.75" customHeight="1" x14ac:dyDescent="0.25">
      <c r="A30" s="1" t="s">
        <v>191</v>
      </c>
      <c r="B30" s="1" t="s">
        <v>165</v>
      </c>
      <c r="C30" s="1" t="s">
        <v>7</v>
      </c>
      <c r="D30" s="1" t="s">
        <v>8</v>
      </c>
      <c r="E30" s="2">
        <v>5</v>
      </c>
    </row>
    <row r="31" spans="1:5" ht="15.75" customHeight="1" x14ac:dyDescent="0.25">
      <c r="A31" s="1" t="s">
        <v>84</v>
      </c>
      <c r="B31" s="1" t="s">
        <v>165</v>
      </c>
      <c r="C31" s="1" t="s">
        <v>11</v>
      </c>
      <c r="D31" s="1" t="s">
        <v>8</v>
      </c>
      <c r="E31" s="2"/>
    </row>
    <row r="32" spans="1:5" ht="15.75" customHeight="1" x14ac:dyDescent="0.25">
      <c r="A32" s="1" t="s">
        <v>192</v>
      </c>
      <c r="B32" s="1" t="s">
        <v>165</v>
      </c>
      <c r="C32" s="1" t="s">
        <v>7</v>
      </c>
      <c r="D32" s="1" t="s">
        <v>55</v>
      </c>
      <c r="E32" s="2">
        <v>5</v>
      </c>
    </row>
    <row r="33" spans="1:5" ht="15.75" customHeight="1" x14ac:dyDescent="0.25">
      <c r="A33" s="1" t="s">
        <v>193</v>
      </c>
      <c r="B33" s="1" t="s">
        <v>165</v>
      </c>
      <c r="C33" s="1" t="s">
        <v>11</v>
      </c>
      <c r="D33" s="1" t="s">
        <v>55</v>
      </c>
      <c r="E33" s="2"/>
    </row>
    <row r="34" spans="1:5" ht="15.75" customHeight="1" x14ac:dyDescent="0.25">
      <c r="A34" s="1" t="s">
        <v>194</v>
      </c>
      <c r="B34" s="1" t="s">
        <v>165</v>
      </c>
      <c r="C34" s="1" t="s">
        <v>7</v>
      </c>
      <c r="D34" s="1" t="s">
        <v>13</v>
      </c>
      <c r="E34" s="2">
        <v>5</v>
      </c>
    </row>
    <row r="35" spans="1:5" ht="15.75" customHeight="1" x14ac:dyDescent="0.25">
      <c r="A35" s="1" t="s">
        <v>195</v>
      </c>
      <c r="B35" s="1" t="s">
        <v>165</v>
      </c>
      <c r="C35" s="1" t="s">
        <v>11</v>
      </c>
      <c r="D35" s="1" t="s">
        <v>13</v>
      </c>
      <c r="E35" s="2"/>
    </row>
    <row r="36" spans="1:5" ht="15.75" customHeight="1" x14ac:dyDescent="0.25">
      <c r="A36" s="1" t="s">
        <v>196</v>
      </c>
      <c r="B36" s="1" t="s">
        <v>165</v>
      </c>
      <c r="C36" s="1" t="s">
        <v>7</v>
      </c>
      <c r="D36" s="1" t="s">
        <v>8</v>
      </c>
      <c r="E36" s="2">
        <v>5</v>
      </c>
    </row>
    <row r="37" spans="1:5" ht="15.75" customHeight="1" x14ac:dyDescent="0.25">
      <c r="A37" s="1" t="s">
        <v>197</v>
      </c>
      <c r="B37" s="1" t="s">
        <v>165</v>
      </c>
      <c r="C37" s="1" t="s">
        <v>11</v>
      </c>
      <c r="D37" s="1" t="s">
        <v>8</v>
      </c>
      <c r="E37" s="2"/>
    </row>
    <row r="38" spans="1:5" ht="15.75" customHeight="1" x14ac:dyDescent="0.25">
      <c r="A38" s="1" t="s">
        <v>198</v>
      </c>
      <c r="B38" s="1" t="s">
        <v>165</v>
      </c>
      <c r="C38" s="1" t="s">
        <v>7</v>
      </c>
      <c r="D38" s="1" t="s">
        <v>13</v>
      </c>
      <c r="E38" s="2">
        <v>5</v>
      </c>
    </row>
    <row r="39" spans="1:5" ht="15.75" customHeight="1" x14ac:dyDescent="0.25">
      <c r="A39" s="1" t="s">
        <v>199</v>
      </c>
      <c r="B39" s="1" t="s">
        <v>165</v>
      </c>
      <c r="C39" s="1" t="s">
        <v>11</v>
      </c>
      <c r="D39" s="1" t="s">
        <v>13</v>
      </c>
      <c r="E39" s="2"/>
    </row>
    <row r="40" spans="1:5" ht="15.75" customHeight="1" x14ac:dyDescent="0.25">
      <c r="A40" s="1" t="s">
        <v>200</v>
      </c>
      <c r="B40" s="1" t="s">
        <v>165</v>
      </c>
      <c r="C40" s="1" t="s">
        <v>7</v>
      </c>
      <c r="D40" s="1" t="s">
        <v>8</v>
      </c>
      <c r="E40" s="2">
        <v>4.5</v>
      </c>
    </row>
    <row r="41" spans="1:5" ht="15.75" customHeight="1" x14ac:dyDescent="0.25">
      <c r="A41" s="1" t="s">
        <v>201</v>
      </c>
      <c r="B41" s="1" t="s">
        <v>165</v>
      </c>
      <c r="C41" s="1" t="s">
        <v>11</v>
      </c>
      <c r="D41" s="1" t="s">
        <v>8</v>
      </c>
      <c r="E41" s="2"/>
    </row>
    <row r="42" spans="1:5" ht="15.75" customHeight="1" x14ac:dyDescent="0.25">
      <c r="A42" s="1" t="s">
        <v>92</v>
      </c>
      <c r="B42" s="1" t="s">
        <v>165</v>
      </c>
      <c r="C42" s="1" t="s">
        <v>7</v>
      </c>
      <c r="D42" s="1" t="s">
        <v>8</v>
      </c>
      <c r="E42" s="2">
        <v>5</v>
      </c>
    </row>
    <row r="43" spans="1:5" ht="15.75" customHeight="1" x14ac:dyDescent="0.25">
      <c r="A43" s="1" t="s">
        <v>202</v>
      </c>
      <c r="B43" s="1" t="s">
        <v>165</v>
      </c>
      <c r="C43" s="1" t="s">
        <v>11</v>
      </c>
      <c r="D43" s="1" t="s">
        <v>8</v>
      </c>
      <c r="E43" s="2"/>
    </row>
    <row r="44" spans="1:5" ht="15.75" customHeight="1" x14ac:dyDescent="0.25">
      <c r="D44" s="1" t="s">
        <v>61</v>
      </c>
      <c r="E44" s="3">
        <f>SUM(E2:E43)</f>
        <v>117</v>
      </c>
    </row>
    <row r="45" spans="1:5" ht="15.75" customHeight="1" x14ac:dyDescent="0.25">
      <c r="D45" s="1" t="s">
        <v>62</v>
      </c>
      <c r="E45" s="2">
        <v>15000</v>
      </c>
    </row>
    <row r="46" spans="1:5" ht="15.75" customHeight="1" x14ac:dyDescent="0.25">
      <c r="D46" s="1" t="s">
        <v>63</v>
      </c>
      <c r="E46" s="1">
        <f>E44*E45</f>
        <v>1755000</v>
      </c>
    </row>
    <row r="47" spans="1:5" ht="15.75" customHeight="1" x14ac:dyDescent="0.25">
      <c r="D47" s="1" t="s">
        <v>64</v>
      </c>
      <c r="E47" s="2">
        <v>200000</v>
      </c>
    </row>
    <row r="48" spans="1:5" ht="15.75" customHeight="1" x14ac:dyDescent="0.25">
      <c r="D48" s="1" t="s">
        <v>65</v>
      </c>
      <c r="E48" s="2">
        <v>0</v>
      </c>
    </row>
    <row r="49" spans="4:5" ht="15.75" customHeight="1" x14ac:dyDescent="0.25">
      <c r="D49" s="1" t="s">
        <v>66</v>
      </c>
      <c r="E49" s="2">
        <v>0</v>
      </c>
    </row>
    <row r="50" spans="4:5" ht="15.75" customHeight="1" x14ac:dyDescent="0.25">
      <c r="D50" s="1" t="s">
        <v>67</v>
      </c>
      <c r="E50" s="2">
        <v>0</v>
      </c>
    </row>
    <row r="51" spans="4:5" ht="15.75" customHeight="1" x14ac:dyDescent="0.25">
      <c r="D51" s="1" t="s">
        <v>68</v>
      </c>
      <c r="E51" s="2">
        <v>0</v>
      </c>
    </row>
    <row r="52" spans="4:5" ht="15.75" customHeight="1" x14ac:dyDescent="0.25">
      <c r="D52" s="1" t="s">
        <v>69</v>
      </c>
      <c r="E52" s="3">
        <f>E46 - SUM(E47:E51)</f>
        <v>1555000</v>
      </c>
    </row>
    <row r="53" spans="4:5" ht="15.75" customHeight="1" x14ac:dyDescent="0.25"/>
    <row r="54" spans="4:5" ht="15.75" customHeight="1" x14ac:dyDescent="0.25"/>
    <row r="55" spans="4:5" ht="15.75" customHeight="1" x14ac:dyDescent="0.25"/>
    <row r="56" spans="4:5" ht="15.75" customHeight="1" x14ac:dyDescent="0.25"/>
    <row r="57" spans="4:5" ht="15.75" customHeight="1" x14ac:dyDescent="0.25"/>
    <row r="58" spans="4:5" ht="15.75" customHeight="1" x14ac:dyDescent="0.25"/>
    <row r="59" spans="4:5" ht="15.75" customHeight="1" x14ac:dyDescent="0.25"/>
    <row r="60" spans="4:5" ht="15.75" customHeight="1" x14ac:dyDescent="0.25"/>
    <row r="61" spans="4:5" ht="15.75" customHeight="1" x14ac:dyDescent="0.25"/>
    <row r="62" spans="4:5" ht="15.75" customHeight="1" x14ac:dyDescent="0.25"/>
    <row r="63" spans="4:5" ht="15.75" customHeight="1" x14ac:dyDescent="0.25"/>
    <row r="64" spans="4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203</v>
      </c>
      <c r="B2" s="1" t="s">
        <v>204</v>
      </c>
      <c r="C2" s="1" t="s">
        <v>7</v>
      </c>
      <c r="D2" s="1" t="s">
        <v>97</v>
      </c>
      <c r="E2" s="2">
        <v>10</v>
      </c>
      <c r="F2" s="1" t="s">
        <v>72</v>
      </c>
    </row>
    <row r="3" spans="1:6" ht="15.75" x14ac:dyDescent="0.25">
      <c r="A3" s="1" t="s">
        <v>205</v>
      </c>
      <c r="B3" s="1" t="s">
        <v>204</v>
      </c>
      <c r="C3" s="1" t="s">
        <v>11</v>
      </c>
      <c r="D3" s="1" t="s">
        <v>97</v>
      </c>
      <c r="E3" s="2"/>
    </row>
    <row r="4" spans="1:6" ht="15.75" x14ac:dyDescent="0.25">
      <c r="A4" s="1" t="s">
        <v>206</v>
      </c>
      <c r="B4" s="1" t="s">
        <v>204</v>
      </c>
      <c r="C4" s="1" t="s">
        <v>7</v>
      </c>
      <c r="D4" s="1" t="s">
        <v>97</v>
      </c>
      <c r="E4" s="2">
        <v>7.5</v>
      </c>
      <c r="F4" s="1" t="s">
        <v>149</v>
      </c>
    </row>
    <row r="5" spans="1:6" ht="15.75" x14ac:dyDescent="0.25">
      <c r="A5" s="1" t="s">
        <v>207</v>
      </c>
      <c r="E5" s="2"/>
    </row>
    <row r="6" spans="1:6" ht="15.75" x14ac:dyDescent="0.25">
      <c r="A6" s="1" t="s">
        <v>208</v>
      </c>
      <c r="B6" s="1" t="s">
        <v>204</v>
      </c>
      <c r="C6" s="1" t="s">
        <v>7</v>
      </c>
      <c r="D6" s="1" t="s">
        <v>97</v>
      </c>
      <c r="E6" s="2">
        <v>10</v>
      </c>
    </row>
    <row r="7" spans="1:6" ht="15.75" x14ac:dyDescent="0.25">
      <c r="A7" s="1" t="s">
        <v>17</v>
      </c>
      <c r="B7" s="1" t="s">
        <v>204</v>
      </c>
      <c r="C7" s="1" t="s">
        <v>11</v>
      </c>
      <c r="D7" s="1" t="s">
        <v>97</v>
      </c>
      <c r="E7" s="2"/>
    </row>
    <row r="8" spans="1:6" ht="15.75" x14ac:dyDescent="0.25">
      <c r="A8" s="1" t="s">
        <v>173</v>
      </c>
      <c r="B8" s="1" t="s">
        <v>204</v>
      </c>
      <c r="C8" s="1" t="s">
        <v>7</v>
      </c>
      <c r="D8" s="1" t="s">
        <v>97</v>
      </c>
      <c r="E8" s="2">
        <v>5</v>
      </c>
    </row>
    <row r="9" spans="1:6" ht="15.75" x14ac:dyDescent="0.25">
      <c r="A9" s="1" t="s">
        <v>209</v>
      </c>
      <c r="B9" s="1" t="s">
        <v>204</v>
      </c>
      <c r="C9" s="1" t="s">
        <v>11</v>
      </c>
      <c r="D9" s="1" t="s">
        <v>97</v>
      </c>
      <c r="E9" s="2"/>
    </row>
    <row r="10" spans="1:6" ht="15.75" x14ac:dyDescent="0.25">
      <c r="A10" s="1" t="s">
        <v>210</v>
      </c>
      <c r="B10" s="1" t="s">
        <v>204</v>
      </c>
      <c r="C10" s="1" t="s">
        <v>7</v>
      </c>
      <c r="D10" s="1" t="s">
        <v>97</v>
      </c>
      <c r="E10" s="2">
        <v>5</v>
      </c>
    </row>
    <row r="11" spans="1:6" ht="15.75" x14ac:dyDescent="0.25">
      <c r="A11" s="1" t="s">
        <v>211</v>
      </c>
      <c r="B11" s="1" t="s">
        <v>204</v>
      </c>
      <c r="C11" s="1" t="s">
        <v>11</v>
      </c>
      <c r="D11" s="1" t="s">
        <v>97</v>
      </c>
      <c r="E11" s="2"/>
    </row>
    <row r="12" spans="1:6" ht="15.75" x14ac:dyDescent="0.25">
      <c r="A12" s="1" t="s">
        <v>212</v>
      </c>
      <c r="B12" s="1" t="s">
        <v>204</v>
      </c>
      <c r="C12" s="1" t="s">
        <v>7</v>
      </c>
      <c r="D12" s="1" t="s">
        <v>97</v>
      </c>
      <c r="E12" s="2">
        <v>5</v>
      </c>
    </row>
    <row r="13" spans="1:6" ht="15.75" x14ac:dyDescent="0.25">
      <c r="A13" s="1" t="s">
        <v>213</v>
      </c>
      <c r="B13" s="1" t="s">
        <v>204</v>
      </c>
      <c r="C13" s="1" t="s">
        <v>11</v>
      </c>
      <c r="D13" s="1" t="s">
        <v>97</v>
      </c>
      <c r="E13" s="2"/>
    </row>
    <row r="14" spans="1:6" ht="15.75" x14ac:dyDescent="0.25">
      <c r="A14" s="1" t="s">
        <v>214</v>
      </c>
      <c r="B14" s="1" t="s">
        <v>204</v>
      </c>
      <c r="C14" s="1" t="s">
        <v>7</v>
      </c>
      <c r="D14" s="1" t="s">
        <v>97</v>
      </c>
      <c r="E14" s="2">
        <v>4</v>
      </c>
    </row>
    <row r="15" spans="1:6" ht="15.75" x14ac:dyDescent="0.25">
      <c r="A15" s="1" t="s">
        <v>215</v>
      </c>
      <c r="B15" s="1" t="s">
        <v>204</v>
      </c>
      <c r="C15" s="1" t="s">
        <v>11</v>
      </c>
      <c r="D15" s="1" t="s">
        <v>97</v>
      </c>
      <c r="E15" s="2"/>
    </row>
    <row r="16" spans="1:6" ht="15.75" x14ac:dyDescent="0.25">
      <c r="A16" s="1" t="s">
        <v>216</v>
      </c>
      <c r="B16" s="1" t="s">
        <v>204</v>
      </c>
      <c r="C16" s="1" t="s">
        <v>7</v>
      </c>
      <c r="D16" s="1" t="s">
        <v>97</v>
      </c>
      <c r="E16" s="2">
        <v>5</v>
      </c>
    </row>
    <row r="17" spans="1:5" ht="15.75" x14ac:dyDescent="0.25">
      <c r="A17" s="1" t="s">
        <v>217</v>
      </c>
      <c r="B17" s="1" t="s">
        <v>204</v>
      </c>
      <c r="C17" s="1" t="s">
        <v>11</v>
      </c>
      <c r="D17" s="1" t="s">
        <v>97</v>
      </c>
      <c r="E17" s="2"/>
    </row>
    <row r="18" spans="1:5" ht="15.75" x14ac:dyDescent="0.25">
      <c r="A18" s="1" t="s">
        <v>218</v>
      </c>
      <c r="B18" s="1" t="s">
        <v>204</v>
      </c>
      <c r="C18" s="1" t="s">
        <v>7</v>
      </c>
      <c r="D18" s="1" t="s">
        <v>97</v>
      </c>
      <c r="E18" s="2">
        <v>5</v>
      </c>
    </row>
    <row r="19" spans="1:5" ht="15.75" x14ac:dyDescent="0.25">
      <c r="A19" s="1" t="s">
        <v>219</v>
      </c>
      <c r="B19" s="1" t="s">
        <v>204</v>
      </c>
      <c r="C19" s="1" t="s">
        <v>11</v>
      </c>
      <c r="D19" s="1" t="s">
        <v>97</v>
      </c>
      <c r="E19" s="2"/>
    </row>
    <row r="20" spans="1:5" ht="15.75" x14ac:dyDescent="0.25">
      <c r="A20" s="1" t="s">
        <v>191</v>
      </c>
      <c r="B20" s="1" t="s">
        <v>204</v>
      </c>
      <c r="C20" s="1" t="s">
        <v>7</v>
      </c>
      <c r="D20" s="1" t="s">
        <v>97</v>
      </c>
      <c r="E20" s="2">
        <v>5</v>
      </c>
    </row>
    <row r="21" spans="1:5" ht="15.75" customHeight="1" x14ac:dyDescent="0.25">
      <c r="A21" s="1" t="s">
        <v>220</v>
      </c>
      <c r="B21" s="1" t="s">
        <v>204</v>
      </c>
      <c r="C21" s="1" t="s">
        <v>11</v>
      </c>
      <c r="D21" s="1" t="s">
        <v>97</v>
      </c>
      <c r="E21" s="2"/>
    </row>
    <row r="22" spans="1:5" ht="15.75" customHeight="1" x14ac:dyDescent="0.25">
      <c r="A22" s="1" t="s">
        <v>221</v>
      </c>
      <c r="B22" s="1" t="s">
        <v>204</v>
      </c>
      <c r="C22" s="1" t="s">
        <v>7</v>
      </c>
      <c r="D22" s="1" t="s">
        <v>97</v>
      </c>
      <c r="E22" s="2">
        <v>5</v>
      </c>
    </row>
    <row r="23" spans="1:5" ht="15.75" customHeight="1" x14ac:dyDescent="0.25">
      <c r="A23" s="1" t="s">
        <v>222</v>
      </c>
      <c r="B23" s="1" t="s">
        <v>204</v>
      </c>
      <c r="C23" s="1" t="s">
        <v>11</v>
      </c>
      <c r="D23" s="1" t="s">
        <v>97</v>
      </c>
      <c r="E23" s="2"/>
    </row>
    <row r="24" spans="1:5" ht="15.75" customHeight="1" x14ac:dyDescent="0.25">
      <c r="A24" s="1" t="s">
        <v>223</v>
      </c>
      <c r="B24" s="1" t="s">
        <v>204</v>
      </c>
      <c r="C24" s="1" t="s">
        <v>7</v>
      </c>
      <c r="D24" s="1" t="s">
        <v>97</v>
      </c>
      <c r="E24" s="2">
        <v>5</v>
      </c>
    </row>
    <row r="25" spans="1:5" ht="15.75" customHeight="1" x14ac:dyDescent="0.25">
      <c r="A25" s="1" t="s">
        <v>224</v>
      </c>
      <c r="B25" s="1" t="s">
        <v>204</v>
      </c>
      <c r="C25" s="1" t="s">
        <v>11</v>
      </c>
      <c r="D25" s="1" t="s">
        <v>97</v>
      </c>
      <c r="E25" s="2"/>
    </row>
    <row r="26" spans="1:5" ht="15.75" customHeight="1" x14ac:dyDescent="0.25">
      <c r="A26" s="1" t="s">
        <v>225</v>
      </c>
      <c r="B26" s="1" t="s">
        <v>204</v>
      </c>
      <c r="C26" s="1" t="s">
        <v>7</v>
      </c>
      <c r="D26" s="1" t="s">
        <v>97</v>
      </c>
      <c r="E26" s="2">
        <v>5</v>
      </c>
    </row>
    <row r="27" spans="1:5" ht="15.75" customHeight="1" x14ac:dyDescent="0.25">
      <c r="A27" s="1" t="s">
        <v>226</v>
      </c>
      <c r="B27" s="1" t="s">
        <v>204</v>
      </c>
      <c r="C27" s="1" t="s">
        <v>11</v>
      </c>
      <c r="D27" s="1" t="s">
        <v>97</v>
      </c>
      <c r="E27" s="2"/>
    </row>
    <row r="28" spans="1:5" ht="15.75" customHeight="1" x14ac:dyDescent="0.25">
      <c r="D28" s="1" t="s">
        <v>61</v>
      </c>
      <c r="E28" s="3">
        <f>SUM(E2:E27)</f>
        <v>76.5</v>
      </c>
    </row>
    <row r="29" spans="1:5" ht="15.75" customHeight="1" x14ac:dyDescent="0.25">
      <c r="D29" s="1" t="s">
        <v>62</v>
      </c>
      <c r="E29" s="2">
        <v>15000</v>
      </c>
    </row>
    <row r="30" spans="1:5" ht="15.75" customHeight="1" x14ac:dyDescent="0.25">
      <c r="D30" s="1" t="s">
        <v>63</v>
      </c>
      <c r="E30" s="1">
        <f>E28*E29</f>
        <v>1147500</v>
      </c>
    </row>
    <row r="31" spans="1:5" ht="15.75" customHeight="1" x14ac:dyDescent="0.25">
      <c r="D31" s="1" t="s">
        <v>64</v>
      </c>
      <c r="E31" s="2">
        <v>0</v>
      </c>
    </row>
    <row r="32" spans="1:5" ht="15.75" customHeight="1" x14ac:dyDescent="0.25">
      <c r="D32" s="1" t="s">
        <v>65</v>
      </c>
      <c r="E32" s="2">
        <v>0</v>
      </c>
    </row>
    <row r="33" spans="4:5" ht="15.75" customHeight="1" x14ac:dyDescent="0.25">
      <c r="D33" s="1" t="s">
        <v>66</v>
      </c>
      <c r="E33" s="2">
        <v>0</v>
      </c>
    </row>
    <row r="34" spans="4:5" ht="15.75" customHeight="1" x14ac:dyDescent="0.25">
      <c r="D34" s="1" t="s">
        <v>67</v>
      </c>
      <c r="E34" s="2">
        <v>0</v>
      </c>
    </row>
    <row r="35" spans="4:5" ht="15.75" customHeight="1" x14ac:dyDescent="0.25">
      <c r="D35" s="1" t="s">
        <v>68</v>
      </c>
      <c r="E35" s="2">
        <v>0</v>
      </c>
    </row>
    <row r="36" spans="4:5" ht="15.75" customHeight="1" x14ac:dyDescent="0.25">
      <c r="D36" s="1" t="s">
        <v>69</v>
      </c>
      <c r="E36" s="3">
        <f>E30 - SUM(E31:E35)</f>
        <v>1147500</v>
      </c>
    </row>
    <row r="37" spans="4:5" ht="15.75" customHeight="1" x14ac:dyDescent="0.25"/>
    <row r="38" spans="4:5" ht="15.75" customHeight="1" x14ac:dyDescent="0.25"/>
    <row r="39" spans="4:5" ht="15.75" customHeight="1" x14ac:dyDescent="0.25"/>
    <row r="40" spans="4:5" ht="15.75" customHeight="1" x14ac:dyDescent="0.25"/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227</v>
      </c>
      <c r="B2" s="1" t="s">
        <v>228</v>
      </c>
      <c r="C2" s="1" t="s">
        <v>7</v>
      </c>
      <c r="D2" s="1" t="s">
        <v>55</v>
      </c>
      <c r="E2" s="2">
        <v>10</v>
      </c>
      <c r="F2" s="1" t="s">
        <v>72</v>
      </c>
    </row>
    <row r="3" spans="1:6" ht="15.75" x14ac:dyDescent="0.25">
      <c r="A3" s="1" t="s">
        <v>229</v>
      </c>
      <c r="B3" s="1" t="s">
        <v>228</v>
      </c>
      <c r="C3" s="1" t="s">
        <v>11</v>
      </c>
      <c r="D3" s="1" t="s">
        <v>55</v>
      </c>
      <c r="E3" s="2"/>
    </row>
    <row r="4" spans="1:6" ht="15.75" x14ac:dyDescent="0.25">
      <c r="A4" s="1" t="s">
        <v>230</v>
      </c>
      <c r="B4" s="1" t="s">
        <v>228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153</v>
      </c>
      <c r="B5" s="1" t="s">
        <v>228</v>
      </c>
      <c r="C5" s="1" t="s">
        <v>11</v>
      </c>
      <c r="D5" s="1" t="s">
        <v>55</v>
      </c>
      <c r="E5" s="2"/>
    </row>
    <row r="6" spans="1:6" ht="15.75" x14ac:dyDescent="0.25">
      <c r="A6" s="1" t="s">
        <v>231</v>
      </c>
      <c r="B6" s="1" t="s">
        <v>228</v>
      </c>
      <c r="C6" s="1" t="s">
        <v>7</v>
      </c>
      <c r="D6" s="1" t="s">
        <v>55</v>
      </c>
      <c r="E6" s="2">
        <v>5</v>
      </c>
    </row>
    <row r="7" spans="1:6" ht="15.75" x14ac:dyDescent="0.25">
      <c r="A7" s="1" t="s">
        <v>232</v>
      </c>
      <c r="B7" s="1" t="s">
        <v>228</v>
      </c>
      <c r="C7" s="1" t="s">
        <v>11</v>
      </c>
      <c r="D7" s="1" t="s">
        <v>55</v>
      </c>
      <c r="E7" s="2"/>
    </row>
    <row r="8" spans="1:6" ht="15.75" x14ac:dyDescent="0.25">
      <c r="A8" s="1" t="s">
        <v>233</v>
      </c>
      <c r="B8" s="1" t="s">
        <v>228</v>
      </c>
      <c r="C8" s="1" t="s">
        <v>7</v>
      </c>
      <c r="D8" s="1" t="s">
        <v>55</v>
      </c>
      <c r="E8" s="2">
        <v>5</v>
      </c>
    </row>
    <row r="9" spans="1:6" ht="15.75" x14ac:dyDescent="0.25">
      <c r="A9" s="1" t="s">
        <v>234</v>
      </c>
      <c r="B9" s="1" t="s">
        <v>228</v>
      </c>
      <c r="C9" s="1" t="s">
        <v>11</v>
      </c>
      <c r="D9" s="1" t="s">
        <v>55</v>
      </c>
      <c r="E9" s="2"/>
    </row>
    <row r="10" spans="1:6" ht="15.75" x14ac:dyDescent="0.25">
      <c r="A10" s="1" t="s">
        <v>235</v>
      </c>
      <c r="B10" s="1" t="s">
        <v>228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176</v>
      </c>
      <c r="B11" s="1" t="s">
        <v>228</v>
      </c>
      <c r="C11" s="1" t="s">
        <v>11</v>
      </c>
      <c r="D11" s="1" t="s">
        <v>13</v>
      </c>
      <c r="E11" s="2"/>
    </row>
    <row r="12" spans="1:6" ht="15.75" x14ac:dyDescent="0.25">
      <c r="A12" s="1" t="s">
        <v>236</v>
      </c>
      <c r="B12" s="1" t="s">
        <v>228</v>
      </c>
      <c r="C12" s="1" t="s">
        <v>7</v>
      </c>
      <c r="D12" s="1" t="s">
        <v>55</v>
      </c>
      <c r="E12" s="2">
        <v>5</v>
      </c>
    </row>
    <row r="13" spans="1:6" ht="15.75" x14ac:dyDescent="0.25">
      <c r="A13" s="1" t="s">
        <v>237</v>
      </c>
      <c r="B13" s="1" t="s">
        <v>228</v>
      </c>
      <c r="C13" s="1" t="s">
        <v>11</v>
      </c>
      <c r="D13" s="1" t="s">
        <v>55</v>
      </c>
      <c r="E13" s="2"/>
    </row>
    <row r="14" spans="1:6" ht="15.75" x14ac:dyDescent="0.25">
      <c r="A14" s="1" t="s">
        <v>238</v>
      </c>
      <c r="B14" s="1" t="s">
        <v>228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81</v>
      </c>
      <c r="B15" s="1" t="s">
        <v>228</v>
      </c>
      <c r="C15" s="1" t="s">
        <v>11</v>
      </c>
      <c r="D15" s="1" t="s">
        <v>55</v>
      </c>
      <c r="E15" s="2"/>
    </row>
    <row r="16" spans="1:6" ht="15.75" x14ac:dyDescent="0.25">
      <c r="A16" s="1" t="s">
        <v>239</v>
      </c>
      <c r="B16" s="1" t="s">
        <v>228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115</v>
      </c>
      <c r="B17" s="1" t="s">
        <v>228</v>
      </c>
      <c r="C17" s="1" t="s">
        <v>11</v>
      </c>
      <c r="D17" s="1" t="s">
        <v>55</v>
      </c>
      <c r="E17" s="2"/>
    </row>
    <row r="18" spans="1:5" ht="15.75" x14ac:dyDescent="0.25">
      <c r="A18" s="1" t="s">
        <v>240</v>
      </c>
      <c r="B18" s="1" t="s">
        <v>228</v>
      </c>
      <c r="C18" s="1" t="s">
        <v>7</v>
      </c>
      <c r="D18" s="1" t="s">
        <v>55</v>
      </c>
      <c r="E18" s="2">
        <v>5</v>
      </c>
    </row>
    <row r="19" spans="1:5" ht="15.75" x14ac:dyDescent="0.25">
      <c r="A19" s="1" t="s">
        <v>241</v>
      </c>
      <c r="B19" s="1" t="s">
        <v>228</v>
      </c>
      <c r="C19" s="1" t="s">
        <v>11</v>
      </c>
      <c r="D19" s="1" t="s">
        <v>55</v>
      </c>
      <c r="E19" s="2"/>
    </row>
    <row r="20" spans="1:5" ht="15.75" x14ac:dyDescent="0.25">
      <c r="A20" s="1" t="s">
        <v>242</v>
      </c>
      <c r="B20" s="1" t="s">
        <v>228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243</v>
      </c>
      <c r="B21" s="1" t="s">
        <v>228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244</v>
      </c>
      <c r="B22" s="1" t="s">
        <v>228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245</v>
      </c>
      <c r="B23" s="1" t="s">
        <v>228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246</v>
      </c>
      <c r="B24" s="1" t="s">
        <v>228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247</v>
      </c>
      <c r="B25" s="1" t="s">
        <v>228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248</v>
      </c>
      <c r="B26" s="1" t="s">
        <v>228</v>
      </c>
      <c r="C26" s="1" t="s">
        <v>7</v>
      </c>
      <c r="D26" s="1" t="s">
        <v>55</v>
      </c>
      <c r="E26" s="2">
        <v>5</v>
      </c>
    </row>
    <row r="27" spans="1:5" ht="15.75" customHeight="1" x14ac:dyDescent="0.25">
      <c r="A27" s="1" t="s">
        <v>126</v>
      </c>
      <c r="B27" s="1" t="s">
        <v>228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249</v>
      </c>
      <c r="B28" s="1" t="s">
        <v>228</v>
      </c>
      <c r="C28" s="1" t="s">
        <v>7</v>
      </c>
      <c r="D28" s="1" t="s">
        <v>55</v>
      </c>
      <c r="E28" s="2">
        <v>5</v>
      </c>
    </row>
    <row r="29" spans="1:5" ht="15.75" customHeight="1" x14ac:dyDescent="0.25">
      <c r="A29" s="1" t="s">
        <v>84</v>
      </c>
      <c r="B29" s="1" t="s">
        <v>228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131</v>
      </c>
      <c r="B30" s="1" t="s">
        <v>228</v>
      </c>
      <c r="C30" s="1" t="s">
        <v>7</v>
      </c>
      <c r="D30" s="1" t="s">
        <v>55</v>
      </c>
      <c r="E30" s="2">
        <v>5</v>
      </c>
    </row>
    <row r="31" spans="1:5" ht="15.75" customHeight="1" x14ac:dyDescent="0.25">
      <c r="A31" s="1" t="s">
        <v>250</v>
      </c>
      <c r="B31" s="1" t="s">
        <v>228</v>
      </c>
      <c r="C31" s="1" t="s">
        <v>11</v>
      </c>
      <c r="D31" s="1" t="s">
        <v>55</v>
      </c>
      <c r="E31" s="2"/>
    </row>
    <row r="32" spans="1:5" ht="15.75" customHeight="1" x14ac:dyDescent="0.25">
      <c r="D32" s="1" t="s">
        <v>61</v>
      </c>
      <c r="E32" s="3">
        <f>SUM(E2:E31)</f>
        <v>82.5</v>
      </c>
    </row>
    <row r="33" spans="4:5" ht="15.75" customHeight="1" x14ac:dyDescent="0.25">
      <c r="D33" s="1" t="s">
        <v>62</v>
      </c>
      <c r="E33" s="2">
        <v>15000</v>
      </c>
    </row>
    <row r="34" spans="4:5" ht="15.75" customHeight="1" x14ac:dyDescent="0.25">
      <c r="D34" s="1" t="s">
        <v>63</v>
      </c>
      <c r="E34" s="1">
        <f>E32*E33</f>
        <v>1237500</v>
      </c>
    </row>
    <row r="35" spans="4:5" ht="15.75" customHeight="1" x14ac:dyDescent="0.25">
      <c r="D35" s="1" t="s">
        <v>64</v>
      </c>
      <c r="E35" s="2">
        <v>0</v>
      </c>
    </row>
    <row r="36" spans="4:5" ht="15.75" customHeight="1" x14ac:dyDescent="0.25">
      <c r="D36" s="1" t="s">
        <v>65</v>
      </c>
      <c r="E36" s="2">
        <v>0</v>
      </c>
    </row>
    <row r="37" spans="4:5" ht="15.75" customHeight="1" x14ac:dyDescent="0.25">
      <c r="D37" s="1" t="s">
        <v>66</v>
      </c>
      <c r="E37" s="2">
        <v>0</v>
      </c>
    </row>
    <row r="38" spans="4:5" ht="15.75" customHeight="1" x14ac:dyDescent="0.25">
      <c r="D38" s="1" t="s">
        <v>67</v>
      </c>
      <c r="E38" s="2">
        <v>0</v>
      </c>
    </row>
    <row r="39" spans="4:5" ht="15.75" customHeight="1" x14ac:dyDescent="0.25">
      <c r="D39" s="1" t="s">
        <v>68</v>
      </c>
      <c r="E39" s="2">
        <v>0</v>
      </c>
    </row>
    <row r="40" spans="4:5" ht="15.75" customHeight="1" x14ac:dyDescent="0.25">
      <c r="D40" s="1" t="s">
        <v>69</v>
      </c>
      <c r="E40" s="3">
        <f>E34 - SUM(E35:E39)</f>
        <v>1237500</v>
      </c>
    </row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251</v>
      </c>
      <c r="B2" s="1" t="s">
        <v>252</v>
      </c>
      <c r="C2" s="1" t="s">
        <v>7</v>
      </c>
      <c r="D2" s="1" t="s">
        <v>13</v>
      </c>
      <c r="E2" s="2">
        <v>10</v>
      </c>
      <c r="F2" s="1" t="s">
        <v>253</v>
      </c>
    </row>
    <row r="3" spans="1:6" ht="15.75" x14ac:dyDescent="0.25">
      <c r="A3" s="1" t="s">
        <v>254</v>
      </c>
      <c r="B3" s="1" t="s">
        <v>252</v>
      </c>
      <c r="C3" s="1" t="s">
        <v>11</v>
      </c>
      <c r="D3" s="1" t="s">
        <v>13</v>
      </c>
      <c r="E3" s="2"/>
    </row>
    <row r="4" spans="1:6" ht="15.75" x14ac:dyDescent="0.25">
      <c r="A4" s="1" t="s">
        <v>255</v>
      </c>
      <c r="B4" s="1" t="s">
        <v>252</v>
      </c>
      <c r="C4" s="1" t="s">
        <v>7</v>
      </c>
      <c r="D4" s="1" t="s">
        <v>13</v>
      </c>
      <c r="E4" s="2">
        <v>7.5</v>
      </c>
      <c r="F4" s="1" t="s">
        <v>95</v>
      </c>
    </row>
    <row r="5" spans="1:6" ht="15.75" x14ac:dyDescent="0.25">
      <c r="A5" s="1" t="s">
        <v>256</v>
      </c>
      <c r="B5" s="1" t="s">
        <v>252</v>
      </c>
      <c r="C5" s="1" t="s">
        <v>11</v>
      </c>
      <c r="D5" s="1" t="s">
        <v>13</v>
      </c>
      <c r="E5" s="2"/>
    </row>
    <row r="6" spans="1:6" ht="15.75" x14ac:dyDescent="0.25">
      <c r="A6" s="1" t="s">
        <v>173</v>
      </c>
      <c r="B6" s="1" t="s">
        <v>252</v>
      </c>
      <c r="C6" s="1" t="s">
        <v>7</v>
      </c>
      <c r="D6" s="1" t="s">
        <v>13</v>
      </c>
      <c r="E6" s="2">
        <v>5</v>
      </c>
    </row>
    <row r="7" spans="1:6" ht="15.75" x14ac:dyDescent="0.25">
      <c r="A7" s="1" t="s">
        <v>174</v>
      </c>
      <c r="B7" s="1" t="s">
        <v>252</v>
      </c>
      <c r="C7" s="1" t="s">
        <v>11</v>
      </c>
      <c r="D7" s="1" t="s">
        <v>13</v>
      </c>
      <c r="E7" s="2"/>
    </row>
    <row r="8" spans="1:6" ht="15.75" x14ac:dyDescent="0.25">
      <c r="A8" s="1" t="s">
        <v>257</v>
      </c>
      <c r="B8" s="1" t="s">
        <v>252</v>
      </c>
      <c r="C8" s="1" t="s">
        <v>7</v>
      </c>
      <c r="D8" s="1" t="s">
        <v>13</v>
      </c>
      <c r="E8" s="2">
        <v>5</v>
      </c>
    </row>
    <row r="9" spans="1:6" ht="15.75" x14ac:dyDescent="0.25">
      <c r="A9" s="1" t="s">
        <v>258</v>
      </c>
      <c r="B9" s="1" t="s">
        <v>252</v>
      </c>
      <c r="C9" s="1" t="s">
        <v>11</v>
      </c>
      <c r="D9" s="1" t="s">
        <v>13</v>
      </c>
      <c r="E9" s="2"/>
    </row>
    <row r="10" spans="1:6" ht="15.75" x14ac:dyDescent="0.25">
      <c r="A10" s="1" t="s">
        <v>259</v>
      </c>
      <c r="B10" s="1" t="s">
        <v>252</v>
      </c>
      <c r="C10" s="1" t="s">
        <v>7</v>
      </c>
      <c r="D10" s="1" t="s">
        <v>55</v>
      </c>
      <c r="E10" s="2">
        <v>5</v>
      </c>
    </row>
    <row r="11" spans="1:6" ht="15.75" x14ac:dyDescent="0.25">
      <c r="A11" s="1" t="s">
        <v>260</v>
      </c>
      <c r="B11" s="1" t="s">
        <v>252</v>
      </c>
      <c r="C11" s="1" t="s">
        <v>11</v>
      </c>
      <c r="D11" s="1" t="s">
        <v>55</v>
      </c>
      <c r="E11" s="2"/>
    </row>
    <row r="12" spans="1:6" ht="15.75" x14ac:dyDescent="0.25">
      <c r="A12" s="1" t="s">
        <v>261</v>
      </c>
      <c r="B12" s="1" t="s">
        <v>252</v>
      </c>
      <c r="C12" s="1" t="s">
        <v>7</v>
      </c>
      <c r="D12" s="1" t="s">
        <v>13</v>
      </c>
      <c r="E12" s="2">
        <v>4.5</v>
      </c>
    </row>
    <row r="13" spans="1:6" ht="15.75" x14ac:dyDescent="0.25">
      <c r="A13" s="1" t="s">
        <v>262</v>
      </c>
      <c r="B13" s="1" t="s">
        <v>252</v>
      </c>
      <c r="C13" s="1" t="s">
        <v>11</v>
      </c>
      <c r="D13" s="1" t="s">
        <v>13</v>
      </c>
      <c r="E13" s="2"/>
    </row>
    <row r="14" spans="1:6" ht="15.75" x14ac:dyDescent="0.25">
      <c r="A14" s="1" t="s">
        <v>263</v>
      </c>
      <c r="B14" s="1" t="s">
        <v>252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207</v>
      </c>
      <c r="E15" s="2"/>
    </row>
    <row r="16" spans="1:6" ht="15.75" x14ac:dyDescent="0.25">
      <c r="A16" s="1" t="s">
        <v>264</v>
      </c>
      <c r="B16" s="1" t="s">
        <v>252</v>
      </c>
      <c r="C16" s="1" t="s">
        <v>7</v>
      </c>
      <c r="D16" s="1" t="s">
        <v>13</v>
      </c>
      <c r="E16" s="2">
        <v>5</v>
      </c>
    </row>
    <row r="17" spans="1:5" ht="15.75" x14ac:dyDescent="0.25">
      <c r="A17" s="1" t="s">
        <v>224</v>
      </c>
      <c r="B17" s="1" t="s">
        <v>252</v>
      </c>
      <c r="C17" s="1" t="s">
        <v>11</v>
      </c>
      <c r="D17" s="1" t="s">
        <v>13</v>
      </c>
      <c r="E17" s="2"/>
    </row>
    <row r="18" spans="1:5" ht="15.75" x14ac:dyDescent="0.25">
      <c r="D18" s="1" t="s">
        <v>61</v>
      </c>
      <c r="E18" s="3">
        <f>SUM(E2:E17)</f>
        <v>47</v>
      </c>
    </row>
    <row r="19" spans="1:5" ht="15.75" x14ac:dyDescent="0.25">
      <c r="D19" s="1" t="s">
        <v>62</v>
      </c>
      <c r="E19" s="2">
        <v>15000</v>
      </c>
    </row>
    <row r="20" spans="1:5" ht="15.75" x14ac:dyDescent="0.25">
      <c r="D20" s="1" t="s">
        <v>63</v>
      </c>
      <c r="E20" s="1">
        <f>E18*E19</f>
        <v>705000</v>
      </c>
    </row>
    <row r="21" spans="1:5" ht="15.75" customHeight="1" x14ac:dyDescent="0.25">
      <c r="D21" s="1" t="s">
        <v>64</v>
      </c>
      <c r="E21" s="2">
        <v>0</v>
      </c>
    </row>
    <row r="22" spans="1:5" ht="15.75" customHeight="1" x14ac:dyDescent="0.25">
      <c r="D22" s="1" t="s">
        <v>65</v>
      </c>
      <c r="E22" s="2">
        <v>0</v>
      </c>
    </row>
    <row r="23" spans="1:5" ht="15.75" customHeight="1" x14ac:dyDescent="0.25">
      <c r="D23" s="1" t="s">
        <v>66</v>
      </c>
      <c r="E23" s="2">
        <v>0</v>
      </c>
    </row>
    <row r="24" spans="1:5" ht="15.75" customHeight="1" x14ac:dyDescent="0.25">
      <c r="D24" s="1" t="s">
        <v>67</v>
      </c>
      <c r="E24" s="2">
        <v>0</v>
      </c>
    </row>
    <row r="25" spans="1:5" ht="15.75" customHeight="1" x14ac:dyDescent="0.25">
      <c r="D25" s="1" t="s">
        <v>68</v>
      </c>
      <c r="E25" s="2">
        <v>0</v>
      </c>
    </row>
    <row r="26" spans="1:5" ht="15.75" customHeight="1" x14ac:dyDescent="0.25">
      <c r="D26" s="1" t="s">
        <v>69</v>
      </c>
      <c r="E26" s="3">
        <f>E20 - SUM(E21:E25)</f>
        <v>705000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10</v>
      </c>
      <c r="B2" s="1" t="s">
        <v>265</v>
      </c>
      <c r="C2" s="1" t="s">
        <v>7</v>
      </c>
      <c r="D2" s="1" t="s">
        <v>55</v>
      </c>
      <c r="E2" s="2">
        <v>20</v>
      </c>
      <c r="F2" s="1" t="s">
        <v>72</v>
      </c>
    </row>
    <row r="3" spans="1:6" ht="15.75" x14ac:dyDescent="0.25">
      <c r="A3" s="1" t="s">
        <v>147</v>
      </c>
      <c r="B3" s="1" t="s">
        <v>265</v>
      </c>
      <c r="C3" s="1" t="s">
        <v>11</v>
      </c>
      <c r="D3" s="1" t="s">
        <v>55</v>
      </c>
      <c r="E3" s="2"/>
    </row>
    <row r="4" spans="1:6" ht="15.75" x14ac:dyDescent="0.25">
      <c r="A4" s="1" t="s">
        <v>266</v>
      </c>
      <c r="B4" s="1" t="s">
        <v>265</v>
      </c>
      <c r="C4" s="1" t="s">
        <v>7</v>
      </c>
      <c r="D4" s="1" t="s">
        <v>13</v>
      </c>
      <c r="E4" s="2">
        <v>15</v>
      </c>
      <c r="F4" s="1" t="s">
        <v>95</v>
      </c>
    </row>
    <row r="5" spans="1:6" ht="15.75" x14ac:dyDescent="0.25">
      <c r="A5" s="1" t="s">
        <v>150</v>
      </c>
      <c r="B5" s="1" t="s">
        <v>265</v>
      </c>
      <c r="C5" s="1" t="s">
        <v>11</v>
      </c>
      <c r="D5" s="1" t="s">
        <v>13</v>
      </c>
      <c r="E5" s="2"/>
    </row>
    <row r="6" spans="1:6" ht="15.75" x14ac:dyDescent="0.25">
      <c r="A6" s="1" t="s">
        <v>267</v>
      </c>
      <c r="B6" s="1" t="s">
        <v>265</v>
      </c>
      <c r="C6" s="1" t="s">
        <v>7</v>
      </c>
      <c r="D6" s="1" t="s">
        <v>13</v>
      </c>
      <c r="E6" s="2">
        <v>7.5</v>
      </c>
      <c r="F6" s="1" t="s">
        <v>95</v>
      </c>
    </row>
    <row r="7" spans="1:6" ht="15.75" x14ac:dyDescent="0.25">
      <c r="A7" s="1" t="s">
        <v>268</v>
      </c>
      <c r="B7" s="1" t="s">
        <v>265</v>
      </c>
      <c r="C7" s="1" t="s">
        <v>11</v>
      </c>
      <c r="D7" s="1" t="s">
        <v>13</v>
      </c>
      <c r="E7" s="2"/>
    </row>
    <row r="8" spans="1:6" ht="15.75" x14ac:dyDescent="0.25">
      <c r="A8" s="1" t="s">
        <v>255</v>
      </c>
      <c r="B8" s="1" t="s">
        <v>265</v>
      </c>
      <c r="C8" s="1" t="s">
        <v>7</v>
      </c>
      <c r="D8" s="1" t="s">
        <v>13</v>
      </c>
      <c r="E8" s="2">
        <v>7.5</v>
      </c>
      <c r="F8" s="1" t="s">
        <v>95</v>
      </c>
    </row>
    <row r="9" spans="1:6" ht="15.75" x14ac:dyDescent="0.25">
      <c r="A9" s="1" t="s">
        <v>256</v>
      </c>
      <c r="B9" s="1" t="s">
        <v>265</v>
      </c>
      <c r="C9" s="1" t="s">
        <v>11</v>
      </c>
      <c r="D9" s="1" t="s">
        <v>13</v>
      </c>
      <c r="E9" s="2"/>
    </row>
    <row r="10" spans="1:6" ht="15.75" x14ac:dyDescent="0.25">
      <c r="A10" s="1" t="s">
        <v>269</v>
      </c>
      <c r="B10" s="1" t="s">
        <v>265</v>
      </c>
      <c r="C10" s="1" t="s">
        <v>7</v>
      </c>
      <c r="D10" s="1" t="s">
        <v>8</v>
      </c>
      <c r="E10" s="2">
        <v>5</v>
      </c>
    </row>
    <row r="11" spans="1:6" ht="15.75" x14ac:dyDescent="0.25">
      <c r="A11" s="1" t="s">
        <v>17</v>
      </c>
      <c r="B11" s="1" t="s">
        <v>265</v>
      </c>
      <c r="C11" s="1" t="s">
        <v>11</v>
      </c>
      <c r="D11" s="1" t="s">
        <v>8</v>
      </c>
      <c r="E11" s="2"/>
    </row>
    <row r="12" spans="1:6" ht="15.75" x14ac:dyDescent="0.25">
      <c r="A12" s="1" t="s">
        <v>270</v>
      </c>
      <c r="B12" s="1" t="s">
        <v>265</v>
      </c>
      <c r="C12" s="1" t="s">
        <v>7</v>
      </c>
      <c r="D12" s="1" t="s">
        <v>97</v>
      </c>
      <c r="E12" s="2">
        <v>5</v>
      </c>
    </row>
    <row r="13" spans="1:6" ht="15.75" x14ac:dyDescent="0.25">
      <c r="A13" s="1" t="s">
        <v>271</v>
      </c>
      <c r="B13" s="1" t="s">
        <v>265</v>
      </c>
      <c r="C13" s="1" t="s">
        <v>11</v>
      </c>
      <c r="D13" s="1" t="s">
        <v>97</v>
      </c>
      <c r="E13" s="2"/>
    </row>
    <row r="14" spans="1:6" ht="15.75" x14ac:dyDescent="0.25">
      <c r="A14" s="1" t="s">
        <v>234</v>
      </c>
      <c r="B14" s="1" t="s">
        <v>265</v>
      </c>
      <c r="C14" s="1" t="s">
        <v>7</v>
      </c>
      <c r="D14" s="1" t="s">
        <v>97</v>
      </c>
      <c r="E14" s="2">
        <v>5</v>
      </c>
    </row>
    <row r="15" spans="1:6" ht="15.75" x14ac:dyDescent="0.25">
      <c r="A15" s="1" t="s">
        <v>77</v>
      </c>
      <c r="B15" s="1" t="s">
        <v>265</v>
      </c>
      <c r="C15" s="1" t="s">
        <v>11</v>
      </c>
      <c r="D15" s="1" t="s">
        <v>97</v>
      </c>
      <c r="E15" s="2"/>
    </row>
    <row r="16" spans="1:6" ht="15.75" x14ac:dyDescent="0.25">
      <c r="A16" s="1" t="s">
        <v>272</v>
      </c>
      <c r="B16" s="1" t="s">
        <v>265</v>
      </c>
      <c r="C16" s="1" t="s">
        <v>7</v>
      </c>
      <c r="D16" s="1" t="s">
        <v>13</v>
      </c>
      <c r="E16" s="2">
        <v>5</v>
      </c>
    </row>
    <row r="17" spans="1:5" ht="15.75" x14ac:dyDescent="0.25">
      <c r="A17" s="1" t="s">
        <v>273</v>
      </c>
      <c r="B17" s="1" t="s">
        <v>265</v>
      </c>
      <c r="C17" s="1" t="s">
        <v>11</v>
      </c>
      <c r="D17" s="1" t="s">
        <v>13</v>
      </c>
      <c r="E17" s="2"/>
    </row>
    <row r="18" spans="1:5" ht="15.75" x14ac:dyDescent="0.25">
      <c r="A18" s="1" t="s">
        <v>274</v>
      </c>
      <c r="B18" s="1" t="s">
        <v>265</v>
      </c>
      <c r="C18" s="1" t="s">
        <v>7</v>
      </c>
      <c r="D18" s="1" t="s">
        <v>13</v>
      </c>
      <c r="E18" s="2">
        <v>5</v>
      </c>
    </row>
    <row r="19" spans="1:5" ht="15.75" x14ac:dyDescent="0.25">
      <c r="A19" s="1" t="s">
        <v>275</v>
      </c>
      <c r="B19" s="1" t="s">
        <v>265</v>
      </c>
      <c r="C19" s="1" t="s">
        <v>11</v>
      </c>
      <c r="D19" s="1" t="s">
        <v>13</v>
      </c>
      <c r="E19" s="2"/>
    </row>
    <row r="20" spans="1:5" ht="15.75" x14ac:dyDescent="0.25">
      <c r="A20" s="1" t="s">
        <v>177</v>
      </c>
      <c r="B20" s="1" t="s">
        <v>265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276</v>
      </c>
      <c r="B21" s="1" t="s">
        <v>265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213</v>
      </c>
      <c r="B22" s="1" t="s">
        <v>265</v>
      </c>
      <c r="C22" s="1" t="s">
        <v>7</v>
      </c>
      <c r="D22" s="1" t="s">
        <v>97</v>
      </c>
      <c r="E22" s="2">
        <v>5</v>
      </c>
    </row>
    <row r="23" spans="1:5" ht="15.75" customHeight="1" x14ac:dyDescent="0.25">
      <c r="A23" s="1" t="s">
        <v>277</v>
      </c>
      <c r="B23" s="1" t="s">
        <v>265</v>
      </c>
      <c r="C23" s="1" t="s">
        <v>11</v>
      </c>
      <c r="D23" s="1" t="s">
        <v>97</v>
      </c>
      <c r="E23" s="2"/>
    </row>
    <row r="24" spans="1:5" ht="15.75" customHeight="1" x14ac:dyDescent="0.25">
      <c r="A24" s="1" t="s">
        <v>278</v>
      </c>
      <c r="B24" s="1" t="s">
        <v>265</v>
      </c>
      <c r="C24" s="1" t="s">
        <v>7</v>
      </c>
      <c r="D24" s="1" t="s">
        <v>13</v>
      </c>
      <c r="E24" s="2">
        <v>5</v>
      </c>
    </row>
    <row r="25" spans="1:5" ht="15.75" customHeight="1" x14ac:dyDescent="0.25">
      <c r="A25" s="1" t="s">
        <v>279</v>
      </c>
      <c r="B25" s="1" t="s">
        <v>265</v>
      </c>
      <c r="C25" s="1" t="s">
        <v>11</v>
      </c>
      <c r="D25" s="1" t="s">
        <v>13</v>
      </c>
      <c r="E25" s="2"/>
    </row>
    <row r="26" spans="1:5" ht="15.75" customHeight="1" x14ac:dyDescent="0.25">
      <c r="A26" s="1" t="s">
        <v>280</v>
      </c>
      <c r="B26" s="1" t="s">
        <v>265</v>
      </c>
      <c r="C26" s="1" t="s">
        <v>7</v>
      </c>
      <c r="D26" s="1" t="s">
        <v>8</v>
      </c>
      <c r="E26" s="2">
        <v>5</v>
      </c>
    </row>
    <row r="27" spans="1:5" ht="15.75" customHeight="1" x14ac:dyDescent="0.25">
      <c r="A27" s="1" t="s">
        <v>281</v>
      </c>
      <c r="B27" s="1" t="s">
        <v>265</v>
      </c>
      <c r="C27" s="1" t="s">
        <v>11</v>
      </c>
      <c r="D27" s="1" t="s">
        <v>8</v>
      </c>
      <c r="E27" s="2"/>
    </row>
    <row r="28" spans="1:5" ht="15.75" customHeight="1" x14ac:dyDescent="0.25">
      <c r="A28" s="1" t="s">
        <v>282</v>
      </c>
      <c r="B28" s="1" t="s">
        <v>265</v>
      </c>
      <c r="C28" s="1" t="s">
        <v>7</v>
      </c>
      <c r="D28" s="1" t="s">
        <v>97</v>
      </c>
      <c r="E28" s="2">
        <v>5</v>
      </c>
    </row>
    <row r="29" spans="1:5" ht="15.75" customHeight="1" x14ac:dyDescent="0.25">
      <c r="A29" s="1" t="s">
        <v>33</v>
      </c>
      <c r="B29" s="1" t="s">
        <v>265</v>
      </c>
      <c r="C29" s="1" t="s">
        <v>11</v>
      </c>
      <c r="D29" s="1" t="s">
        <v>97</v>
      </c>
      <c r="E29" s="2"/>
    </row>
    <row r="30" spans="1:5" ht="15.75" customHeight="1" x14ac:dyDescent="0.25">
      <c r="A30" s="1" t="s">
        <v>283</v>
      </c>
      <c r="B30" s="1" t="s">
        <v>265</v>
      </c>
      <c r="C30" s="1" t="s">
        <v>7</v>
      </c>
      <c r="D30" s="1" t="s">
        <v>8</v>
      </c>
      <c r="E30" s="2">
        <v>5</v>
      </c>
    </row>
    <row r="31" spans="1:5" ht="15.75" customHeight="1" x14ac:dyDescent="0.25">
      <c r="A31" s="1" t="s">
        <v>241</v>
      </c>
      <c r="B31" s="1" t="s">
        <v>265</v>
      </c>
      <c r="C31" s="1" t="s">
        <v>11</v>
      </c>
      <c r="D31" s="1" t="s">
        <v>8</v>
      </c>
      <c r="E31" s="2"/>
    </row>
    <row r="32" spans="1:5" ht="15.75" customHeight="1" x14ac:dyDescent="0.25">
      <c r="A32" s="1" t="s">
        <v>284</v>
      </c>
      <c r="B32" s="1" t="s">
        <v>265</v>
      </c>
      <c r="C32" s="1" t="s">
        <v>7</v>
      </c>
      <c r="D32" s="1" t="s">
        <v>13</v>
      </c>
      <c r="E32" s="2">
        <v>5</v>
      </c>
    </row>
    <row r="33" spans="1:5" ht="15.75" customHeight="1" x14ac:dyDescent="0.25">
      <c r="A33" s="1" t="s">
        <v>285</v>
      </c>
      <c r="B33" s="1" t="s">
        <v>265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286</v>
      </c>
      <c r="B34" s="1" t="s">
        <v>265</v>
      </c>
      <c r="C34" s="1" t="s">
        <v>7</v>
      </c>
      <c r="D34" s="1" t="s">
        <v>8</v>
      </c>
      <c r="E34" s="2">
        <v>5</v>
      </c>
    </row>
    <row r="35" spans="1:5" ht="15.75" customHeight="1" x14ac:dyDescent="0.25">
      <c r="A35" s="1" t="s">
        <v>287</v>
      </c>
      <c r="B35" s="1" t="s">
        <v>265</v>
      </c>
      <c r="C35" s="1" t="s">
        <v>11</v>
      </c>
      <c r="D35" s="1" t="s">
        <v>8</v>
      </c>
      <c r="E35" s="2"/>
    </row>
    <row r="36" spans="1:5" ht="15.75" customHeight="1" x14ac:dyDescent="0.25">
      <c r="A36" s="1" t="s">
        <v>288</v>
      </c>
      <c r="B36" s="1" t="s">
        <v>265</v>
      </c>
      <c r="C36" s="1" t="s">
        <v>7</v>
      </c>
      <c r="D36" s="1" t="s">
        <v>8</v>
      </c>
      <c r="E36" s="2">
        <v>5</v>
      </c>
    </row>
    <row r="37" spans="1:5" ht="15.75" customHeight="1" x14ac:dyDescent="0.25">
      <c r="A37" s="1" t="s">
        <v>289</v>
      </c>
      <c r="B37" s="1" t="s">
        <v>265</v>
      </c>
      <c r="C37" s="1" t="s">
        <v>11</v>
      </c>
      <c r="D37" s="1" t="s">
        <v>8</v>
      </c>
      <c r="E37" s="2"/>
    </row>
    <row r="38" spans="1:5" ht="15.75" customHeight="1" x14ac:dyDescent="0.25">
      <c r="A38" s="1" t="s">
        <v>290</v>
      </c>
      <c r="B38" s="1" t="s">
        <v>265</v>
      </c>
      <c r="C38" s="1" t="s">
        <v>7</v>
      </c>
      <c r="D38" s="1" t="s">
        <v>8</v>
      </c>
      <c r="E38" s="2">
        <v>5</v>
      </c>
    </row>
    <row r="39" spans="1:5" ht="15.75" customHeight="1" x14ac:dyDescent="0.25">
      <c r="A39" s="1" t="s">
        <v>44</v>
      </c>
      <c r="B39" s="1" t="s">
        <v>265</v>
      </c>
      <c r="C39" s="1" t="s">
        <v>11</v>
      </c>
      <c r="D39" s="1" t="s">
        <v>8</v>
      </c>
      <c r="E39" s="2"/>
    </row>
    <row r="40" spans="1:5" ht="15.75" customHeight="1" x14ac:dyDescent="0.25">
      <c r="A40" s="1" t="s">
        <v>291</v>
      </c>
      <c r="B40" s="1" t="s">
        <v>265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292</v>
      </c>
      <c r="B41" s="1" t="s">
        <v>265</v>
      </c>
      <c r="C41" s="1" t="s">
        <v>11</v>
      </c>
      <c r="D41" s="1" t="s">
        <v>13</v>
      </c>
      <c r="E41" s="2"/>
    </row>
    <row r="42" spans="1:5" ht="15.75" customHeight="1" x14ac:dyDescent="0.25">
      <c r="A42" s="1" t="s">
        <v>293</v>
      </c>
      <c r="B42" s="1" t="s">
        <v>265</v>
      </c>
      <c r="C42" s="1" t="s">
        <v>7</v>
      </c>
      <c r="D42" s="1" t="s">
        <v>8</v>
      </c>
      <c r="E42" s="2">
        <v>5</v>
      </c>
    </row>
    <row r="43" spans="1:5" ht="15.75" customHeight="1" x14ac:dyDescent="0.25">
      <c r="A43" s="1" t="s">
        <v>294</v>
      </c>
      <c r="B43" s="1" t="s">
        <v>265</v>
      </c>
      <c r="C43" s="1" t="s">
        <v>11</v>
      </c>
      <c r="D43" s="1" t="s">
        <v>8</v>
      </c>
      <c r="E43" s="2"/>
    </row>
    <row r="44" spans="1:5" ht="15.75" customHeight="1" x14ac:dyDescent="0.25">
      <c r="A44" s="1" t="s">
        <v>295</v>
      </c>
      <c r="B44" s="1" t="s">
        <v>265</v>
      </c>
      <c r="C44" s="1" t="s">
        <v>7</v>
      </c>
      <c r="D44" s="1" t="s">
        <v>8</v>
      </c>
      <c r="E44" s="2">
        <v>5</v>
      </c>
    </row>
    <row r="45" spans="1:5" ht="15.75" customHeight="1" x14ac:dyDescent="0.25">
      <c r="A45" s="1" t="s">
        <v>296</v>
      </c>
      <c r="B45" s="1" t="s">
        <v>265</v>
      </c>
      <c r="C45" s="1" t="s">
        <v>11</v>
      </c>
      <c r="D45" s="1" t="s">
        <v>8</v>
      </c>
      <c r="E45" s="2"/>
    </row>
    <row r="46" spans="1:5" ht="15.75" customHeight="1" x14ac:dyDescent="0.25">
      <c r="A46" s="1" t="s">
        <v>297</v>
      </c>
      <c r="B46" s="1" t="s">
        <v>265</v>
      </c>
      <c r="C46" s="1" t="s">
        <v>7</v>
      </c>
      <c r="D46" s="1" t="s">
        <v>13</v>
      </c>
      <c r="E46" s="2">
        <v>5</v>
      </c>
    </row>
    <row r="47" spans="1:5" ht="15.75" customHeight="1" x14ac:dyDescent="0.25">
      <c r="A47" s="1" t="s">
        <v>298</v>
      </c>
      <c r="B47" s="1" t="s">
        <v>265</v>
      </c>
      <c r="C47" s="1" t="s">
        <v>11</v>
      </c>
      <c r="D47" s="1" t="s">
        <v>13</v>
      </c>
      <c r="E47" s="2"/>
    </row>
    <row r="48" spans="1:5" ht="15.75" customHeight="1" x14ac:dyDescent="0.25">
      <c r="D48" s="1" t="s">
        <v>61</v>
      </c>
      <c r="E48" s="3">
        <f>SUM(E2:E47)</f>
        <v>145</v>
      </c>
    </row>
    <row r="49" spans="4:5" ht="15.75" customHeight="1" x14ac:dyDescent="0.25">
      <c r="D49" s="1" t="s">
        <v>62</v>
      </c>
      <c r="E49" s="2">
        <v>15000</v>
      </c>
    </row>
    <row r="50" spans="4:5" ht="15.75" customHeight="1" x14ac:dyDescent="0.25">
      <c r="D50" s="1" t="s">
        <v>63</v>
      </c>
      <c r="E50" s="1">
        <f>E48*E49</f>
        <v>2175000</v>
      </c>
    </row>
    <row r="51" spans="4:5" ht="15.75" customHeight="1" x14ac:dyDescent="0.25">
      <c r="D51" s="1" t="s">
        <v>64</v>
      </c>
      <c r="E51" s="2">
        <v>0</v>
      </c>
    </row>
    <row r="52" spans="4:5" ht="15.75" customHeight="1" x14ac:dyDescent="0.25">
      <c r="D52" s="1" t="s">
        <v>65</v>
      </c>
      <c r="E52" s="2">
        <v>0</v>
      </c>
    </row>
    <row r="53" spans="4:5" ht="15.75" customHeight="1" x14ac:dyDescent="0.25">
      <c r="D53" s="1" t="s">
        <v>66</v>
      </c>
      <c r="E53" s="2">
        <v>0</v>
      </c>
    </row>
    <row r="54" spans="4:5" ht="15.75" customHeight="1" x14ac:dyDescent="0.25">
      <c r="D54" s="1" t="s">
        <v>67</v>
      </c>
      <c r="E54" s="2">
        <v>0</v>
      </c>
    </row>
    <row r="55" spans="4:5" ht="15.75" customHeight="1" x14ac:dyDescent="0.25">
      <c r="D55" s="1" t="s">
        <v>68</v>
      </c>
      <c r="E55" s="2">
        <v>0</v>
      </c>
    </row>
    <row r="56" spans="4:5" ht="15.75" customHeight="1" x14ac:dyDescent="0.25">
      <c r="D56" s="1" t="s">
        <v>69</v>
      </c>
      <c r="E56" s="3">
        <f>E50 - SUM(E51:E55)</f>
        <v>2175000</v>
      </c>
    </row>
    <row r="57" spans="4:5" ht="15.75" customHeight="1" x14ac:dyDescent="0.25"/>
    <row r="58" spans="4:5" ht="15.75" customHeight="1" x14ac:dyDescent="0.25"/>
    <row r="59" spans="4:5" ht="15.75" customHeight="1" x14ac:dyDescent="0.25"/>
    <row r="60" spans="4:5" ht="15.75" customHeight="1" x14ac:dyDescent="0.25"/>
    <row r="61" spans="4:5" ht="15.75" customHeight="1" x14ac:dyDescent="0.25"/>
    <row r="62" spans="4:5" ht="15.75" customHeight="1" x14ac:dyDescent="0.25"/>
    <row r="63" spans="4:5" ht="15.75" customHeight="1" x14ac:dyDescent="0.25"/>
    <row r="64" spans="4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10</v>
      </c>
      <c r="B2" s="1" t="s">
        <v>299</v>
      </c>
      <c r="C2" s="1" t="s">
        <v>7</v>
      </c>
      <c r="D2" s="1" t="s">
        <v>13</v>
      </c>
      <c r="E2" s="2">
        <v>10</v>
      </c>
      <c r="F2" s="1" t="s">
        <v>300</v>
      </c>
    </row>
    <row r="3" spans="1:6" ht="15.75" x14ac:dyDescent="0.25">
      <c r="A3" s="1" t="s">
        <v>254</v>
      </c>
      <c r="B3" s="1" t="s">
        <v>299</v>
      </c>
      <c r="C3" s="1" t="s">
        <v>11</v>
      </c>
      <c r="D3" s="1" t="s">
        <v>13</v>
      </c>
      <c r="E3" s="2"/>
    </row>
    <row r="4" spans="1:6" ht="15.75" x14ac:dyDescent="0.25">
      <c r="A4" s="1" t="s">
        <v>301</v>
      </c>
      <c r="B4" s="1" t="s">
        <v>299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302</v>
      </c>
      <c r="B5" s="1" t="s">
        <v>299</v>
      </c>
      <c r="C5" s="1" t="s">
        <v>11</v>
      </c>
      <c r="D5" s="1" t="s">
        <v>55</v>
      </c>
      <c r="E5" s="2"/>
    </row>
    <row r="6" spans="1:6" ht="15.75" x14ac:dyDescent="0.25">
      <c r="A6" s="1" t="s">
        <v>303</v>
      </c>
      <c r="B6" s="1" t="s">
        <v>299</v>
      </c>
      <c r="C6" s="1" t="s">
        <v>7</v>
      </c>
      <c r="D6" s="1" t="s">
        <v>55</v>
      </c>
      <c r="E6" s="2">
        <v>7.5</v>
      </c>
      <c r="F6" s="1" t="s">
        <v>95</v>
      </c>
    </row>
    <row r="7" spans="1:6" ht="15.75" x14ac:dyDescent="0.25">
      <c r="A7" s="1" t="s">
        <v>304</v>
      </c>
      <c r="B7" s="1" t="s">
        <v>299</v>
      </c>
      <c r="C7" s="1" t="s">
        <v>11</v>
      </c>
      <c r="D7" s="1" t="s">
        <v>55</v>
      </c>
      <c r="E7" s="2"/>
    </row>
    <row r="8" spans="1:6" ht="15.75" x14ac:dyDescent="0.25">
      <c r="A8" s="1" t="s">
        <v>305</v>
      </c>
      <c r="B8" s="1" t="s">
        <v>299</v>
      </c>
      <c r="C8" s="1" t="s">
        <v>7</v>
      </c>
      <c r="D8" s="1" t="s">
        <v>97</v>
      </c>
      <c r="E8" s="2">
        <v>5</v>
      </c>
    </row>
    <row r="9" spans="1:6" ht="15.75" x14ac:dyDescent="0.25">
      <c r="A9" s="1" t="s">
        <v>270</v>
      </c>
      <c r="B9" s="1" t="s">
        <v>299</v>
      </c>
      <c r="C9" s="1" t="s">
        <v>11</v>
      </c>
      <c r="D9" s="1" t="s">
        <v>97</v>
      </c>
      <c r="E9" s="2"/>
    </row>
    <row r="10" spans="1:6" ht="15.75" x14ac:dyDescent="0.25">
      <c r="A10" s="1" t="s">
        <v>174</v>
      </c>
      <c r="B10" s="1" t="s">
        <v>299</v>
      </c>
      <c r="C10" s="1" t="s">
        <v>7</v>
      </c>
      <c r="D10" s="1" t="s">
        <v>8</v>
      </c>
      <c r="E10" s="2">
        <v>5</v>
      </c>
    </row>
    <row r="11" spans="1:6" ht="15.75" x14ac:dyDescent="0.25">
      <c r="A11" s="1" t="s">
        <v>306</v>
      </c>
      <c r="B11" s="1" t="s">
        <v>299</v>
      </c>
      <c r="C11" s="1" t="s">
        <v>11</v>
      </c>
      <c r="D11" s="1" t="s">
        <v>8</v>
      </c>
      <c r="E11" s="2"/>
    </row>
    <row r="12" spans="1:6" ht="15.75" x14ac:dyDescent="0.25">
      <c r="A12" s="1" t="s">
        <v>307</v>
      </c>
      <c r="B12" s="1" t="s">
        <v>299</v>
      </c>
      <c r="C12" s="1" t="s">
        <v>7</v>
      </c>
      <c r="D12" s="1" t="s">
        <v>8</v>
      </c>
      <c r="E12" s="2">
        <v>5</v>
      </c>
    </row>
    <row r="13" spans="1:6" ht="15.75" x14ac:dyDescent="0.25">
      <c r="A13" s="1" t="s">
        <v>308</v>
      </c>
      <c r="B13" s="1" t="s">
        <v>299</v>
      </c>
      <c r="C13" s="1" t="s">
        <v>11</v>
      </c>
      <c r="D13" s="1" t="s">
        <v>8</v>
      </c>
      <c r="E13" s="2"/>
    </row>
    <row r="14" spans="1:6" ht="15.75" x14ac:dyDescent="0.25">
      <c r="A14" s="1" t="s">
        <v>309</v>
      </c>
      <c r="B14" s="1" t="s">
        <v>299</v>
      </c>
      <c r="C14" s="1" t="s">
        <v>7</v>
      </c>
      <c r="D14" s="1" t="s">
        <v>8</v>
      </c>
      <c r="E14" s="2">
        <v>5</v>
      </c>
    </row>
    <row r="15" spans="1:6" ht="15.75" x14ac:dyDescent="0.25">
      <c r="A15" s="1" t="s">
        <v>310</v>
      </c>
      <c r="B15" s="1" t="s">
        <v>299</v>
      </c>
      <c r="C15" s="1" t="s">
        <v>11</v>
      </c>
      <c r="D15" s="1" t="s">
        <v>8</v>
      </c>
      <c r="E15" s="2"/>
    </row>
    <row r="16" spans="1:6" ht="15.75" x14ac:dyDescent="0.25">
      <c r="A16" s="1" t="s">
        <v>311</v>
      </c>
      <c r="B16" s="1" t="s">
        <v>299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312</v>
      </c>
      <c r="B17" s="1" t="s">
        <v>299</v>
      </c>
      <c r="C17" s="1" t="s">
        <v>11</v>
      </c>
      <c r="D17" s="1" t="s">
        <v>55</v>
      </c>
      <c r="E17" s="2"/>
    </row>
    <row r="18" spans="1:5" ht="15.75" x14ac:dyDescent="0.25">
      <c r="A18" s="1" t="s">
        <v>277</v>
      </c>
      <c r="B18" s="1" t="s">
        <v>299</v>
      </c>
      <c r="C18" s="1" t="s">
        <v>7</v>
      </c>
      <c r="D18" s="1" t="s">
        <v>13</v>
      </c>
      <c r="E18" s="2">
        <v>5</v>
      </c>
    </row>
    <row r="19" spans="1:5" ht="15.75" x14ac:dyDescent="0.25">
      <c r="A19" s="1" t="s">
        <v>113</v>
      </c>
      <c r="B19" s="1" t="s">
        <v>299</v>
      </c>
      <c r="C19" s="1" t="s">
        <v>11</v>
      </c>
      <c r="D19" s="1" t="s">
        <v>13</v>
      </c>
      <c r="E19" s="2"/>
    </row>
    <row r="20" spans="1:5" ht="15.75" x14ac:dyDescent="0.25">
      <c r="A20" s="1" t="s">
        <v>181</v>
      </c>
      <c r="B20" s="1" t="s">
        <v>299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313</v>
      </c>
      <c r="B21" s="1" t="s">
        <v>299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314</v>
      </c>
      <c r="B22" s="1" t="s">
        <v>299</v>
      </c>
      <c r="C22" s="1" t="s">
        <v>7</v>
      </c>
      <c r="D22" s="1" t="s">
        <v>13</v>
      </c>
      <c r="E22" s="2">
        <v>5</v>
      </c>
    </row>
    <row r="23" spans="1:5" ht="15.75" customHeight="1" x14ac:dyDescent="0.25">
      <c r="A23" s="1" t="s">
        <v>260</v>
      </c>
      <c r="B23" s="1" t="s">
        <v>299</v>
      </c>
      <c r="C23" s="1" t="s">
        <v>11</v>
      </c>
      <c r="D23" s="1" t="s">
        <v>13</v>
      </c>
      <c r="E23" s="2"/>
    </row>
    <row r="24" spans="1:5" ht="15.75" customHeight="1" x14ac:dyDescent="0.25">
      <c r="A24" s="1" t="s">
        <v>315</v>
      </c>
      <c r="B24" s="1" t="s">
        <v>299</v>
      </c>
      <c r="C24" s="1" t="s">
        <v>7</v>
      </c>
      <c r="D24" s="1" t="s">
        <v>8</v>
      </c>
      <c r="E24" s="2">
        <v>5</v>
      </c>
    </row>
    <row r="25" spans="1:5" ht="15.75" customHeight="1" x14ac:dyDescent="0.25">
      <c r="A25" s="1" t="s">
        <v>316</v>
      </c>
      <c r="B25" s="1" t="s">
        <v>299</v>
      </c>
      <c r="C25" s="1" t="s">
        <v>11</v>
      </c>
      <c r="D25" s="1" t="s">
        <v>8</v>
      </c>
      <c r="E25" s="2"/>
    </row>
    <row r="26" spans="1:5" ht="15.75" customHeight="1" x14ac:dyDescent="0.25">
      <c r="A26" s="1" t="s">
        <v>138</v>
      </c>
      <c r="E26" s="2">
        <v>5</v>
      </c>
    </row>
    <row r="27" spans="1:5" ht="15.75" customHeight="1" x14ac:dyDescent="0.25">
      <c r="A27" s="1" t="s">
        <v>317</v>
      </c>
      <c r="B27" s="1" t="s">
        <v>299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318</v>
      </c>
      <c r="B28" s="1" t="s">
        <v>299</v>
      </c>
      <c r="C28" s="1" t="s">
        <v>7</v>
      </c>
      <c r="D28" s="1" t="s">
        <v>13</v>
      </c>
      <c r="E28" s="2">
        <v>4.5</v>
      </c>
    </row>
    <row r="29" spans="1:5" ht="15.75" customHeight="1" x14ac:dyDescent="0.25">
      <c r="A29" s="1" t="s">
        <v>37</v>
      </c>
      <c r="B29" s="1" t="s">
        <v>299</v>
      </c>
      <c r="C29" s="1" t="s">
        <v>11</v>
      </c>
      <c r="D29" s="1" t="s">
        <v>13</v>
      </c>
      <c r="E29" s="2"/>
    </row>
    <row r="30" spans="1:5" ht="15.75" customHeight="1" x14ac:dyDescent="0.25">
      <c r="A30" s="1" t="s">
        <v>319</v>
      </c>
      <c r="B30" s="1" t="s">
        <v>299</v>
      </c>
      <c r="C30" s="1" t="s">
        <v>7</v>
      </c>
      <c r="D30" s="1" t="s">
        <v>8</v>
      </c>
      <c r="E30" s="2">
        <v>5</v>
      </c>
    </row>
    <row r="31" spans="1:5" ht="15.75" customHeight="1" x14ac:dyDescent="0.25">
      <c r="A31" s="1" t="s">
        <v>247</v>
      </c>
      <c r="B31" s="1" t="s">
        <v>299</v>
      </c>
      <c r="C31" s="1" t="s">
        <v>11</v>
      </c>
      <c r="D31" s="1" t="s">
        <v>8</v>
      </c>
      <c r="E31" s="2"/>
    </row>
    <row r="32" spans="1:5" ht="15.75" customHeight="1" x14ac:dyDescent="0.25">
      <c r="A32" s="1" t="s">
        <v>190</v>
      </c>
      <c r="B32" s="1" t="s">
        <v>299</v>
      </c>
      <c r="C32" s="1" t="s">
        <v>7</v>
      </c>
      <c r="D32" s="1" t="s">
        <v>13</v>
      </c>
      <c r="E32" s="2">
        <v>5</v>
      </c>
    </row>
    <row r="33" spans="1:5" ht="15.75" customHeight="1" x14ac:dyDescent="0.25">
      <c r="A33" s="1" t="s">
        <v>320</v>
      </c>
      <c r="B33" s="1" t="s">
        <v>299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321</v>
      </c>
      <c r="B34" s="1" t="s">
        <v>299</v>
      </c>
      <c r="C34" s="1" t="s">
        <v>7</v>
      </c>
      <c r="D34" s="1" t="s">
        <v>13</v>
      </c>
      <c r="E34" s="2">
        <v>7</v>
      </c>
    </row>
    <row r="35" spans="1:5" ht="15.75" customHeight="1" x14ac:dyDescent="0.25">
      <c r="A35" s="1" t="s">
        <v>322</v>
      </c>
      <c r="B35" s="1" t="s">
        <v>299</v>
      </c>
      <c r="C35" s="1" t="s">
        <v>11</v>
      </c>
      <c r="D35" s="1" t="s">
        <v>13</v>
      </c>
      <c r="E35" s="2"/>
    </row>
    <row r="36" spans="1:5" ht="15.75" customHeight="1" x14ac:dyDescent="0.25">
      <c r="A36" s="1" t="s">
        <v>323</v>
      </c>
      <c r="B36" s="1" t="s">
        <v>299</v>
      </c>
      <c r="C36" s="1" t="s">
        <v>7</v>
      </c>
      <c r="D36" s="1" t="s">
        <v>55</v>
      </c>
      <c r="E36" s="2">
        <v>5</v>
      </c>
    </row>
    <row r="37" spans="1:5" ht="15.75" customHeight="1" x14ac:dyDescent="0.25">
      <c r="A37" s="1" t="s">
        <v>87</v>
      </c>
      <c r="B37" s="1" t="s">
        <v>299</v>
      </c>
      <c r="C37" s="1" t="s">
        <v>11</v>
      </c>
      <c r="D37" s="1" t="s">
        <v>55</v>
      </c>
      <c r="E37" s="2"/>
    </row>
    <row r="38" spans="1:5" ht="15.75" customHeight="1" x14ac:dyDescent="0.25">
      <c r="A38" s="1" t="s">
        <v>324</v>
      </c>
      <c r="B38" s="1" t="s">
        <v>299</v>
      </c>
      <c r="C38" s="1" t="s">
        <v>7</v>
      </c>
      <c r="D38" s="1" t="s">
        <v>13</v>
      </c>
      <c r="E38" s="2">
        <v>10</v>
      </c>
    </row>
    <row r="39" spans="1:5" ht="15.75" customHeight="1" x14ac:dyDescent="0.25">
      <c r="A39" s="1" t="s">
        <v>89</v>
      </c>
      <c r="B39" s="1" t="s">
        <v>299</v>
      </c>
      <c r="C39" s="1" t="s">
        <v>11</v>
      </c>
      <c r="D39" s="1" t="s">
        <v>13</v>
      </c>
      <c r="E39" s="2"/>
    </row>
    <row r="40" spans="1:5" ht="15.75" customHeight="1" x14ac:dyDescent="0.25">
      <c r="A40" s="1" t="s">
        <v>325</v>
      </c>
      <c r="B40" s="1" t="s">
        <v>299</v>
      </c>
      <c r="C40" s="1" t="s">
        <v>7</v>
      </c>
      <c r="D40" s="1" t="s">
        <v>8</v>
      </c>
      <c r="E40" s="2">
        <v>5</v>
      </c>
    </row>
    <row r="41" spans="1:5" ht="15.75" customHeight="1" x14ac:dyDescent="0.25">
      <c r="A41" s="1" t="s">
        <v>137</v>
      </c>
      <c r="B41" s="1" t="s">
        <v>299</v>
      </c>
      <c r="C41" s="1" t="s">
        <v>11</v>
      </c>
      <c r="D41" s="1" t="s">
        <v>8</v>
      </c>
      <c r="E41" s="2"/>
    </row>
    <row r="42" spans="1:5" ht="15.75" customHeight="1" x14ac:dyDescent="0.25">
      <c r="A42" s="1" t="s">
        <v>326</v>
      </c>
      <c r="B42" s="1" t="s">
        <v>299</v>
      </c>
      <c r="C42" s="1" t="s">
        <v>7</v>
      </c>
      <c r="D42" s="1" t="s">
        <v>55</v>
      </c>
      <c r="E42" s="2">
        <v>4.5</v>
      </c>
    </row>
    <row r="43" spans="1:5" ht="15.75" customHeight="1" x14ac:dyDescent="0.25">
      <c r="A43" s="1" t="s">
        <v>327</v>
      </c>
      <c r="B43" s="1" t="s">
        <v>299</v>
      </c>
      <c r="C43" s="1" t="s">
        <v>11</v>
      </c>
      <c r="D43" s="1" t="s">
        <v>55</v>
      </c>
      <c r="E43" s="2"/>
    </row>
    <row r="44" spans="1:5" ht="15.75" customHeight="1" x14ac:dyDescent="0.25">
      <c r="A44" s="1" t="s">
        <v>328</v>
      </c>
      <c r="B44" s="1" t="s">
        <v>299</v>
      </c>
      <c r="C44" s="1" t="s">
        <v>7</v>
      </c>
      <c r="D44" s="1" t="s">
        <v>13</v>
      </c>
      <c r="E44" s="2">
        <v>5</v>
      </c>
    </row>
    <row r="45" spans="1:5" ht="15.75" customHeight="1" x14ac:dyDescent="0.25">
      <c r="A45" s="1" t="s">
        <v>329</v>
      </c>
      <c r="B45" s="1" t="s">
        <v>299</v>
      </c>
      <c r="C45" s="1" t="s">
        <v>11</v>
      </c>
      <c r="D45" s="1" t="s">
        <v>13</v>
      </c>
      <c r="E45" s="2"/>
    </row>
    <row r="46" spans="1:5" ht="15.75" customHeight="1" x14ac:dyDescent="0.25">
      <c r="A46" s="1" t="s">
        <v>224</v>
      </c>
      <c r="B46" s="1" t="s">
        <v>299</v>
      </c>
      <c r="C46" s="1" t="s">
        <v>7</v>
      </c>
      <c r="D46" s="1" t="s">
        <v>97</v>
      </c>
      <c r="E46" s="2">
        <v>5</v>
      </c>
    </row>
    <row r="47" spans="1:5" ht="15.75" customHeight="1" x14ac:dyDescent="0.25">
      <c r="A47" s="1" t="s">
        <v>330</v>
      </c>
      <c r="B47" s="1" t="s">
        <v>299</v>
      </c>
      <c r="C47" s="1" t="s">
        <v>11</v>
      </c>
      <c r="D47" s="1" t="s">
        <v>97</v>
      </c>
      <c r="E47" s="2"/>
    </row>
    <row r="48" spans="1:5" ht="15.75" customHeight="1" x14ac:dyDescent="0.25">
      <c r="A48" s="1" t="s">
        <v>331</v>
      </c>
      <c r="B48" s="1" t="s">
        <v>299</v>
      </c>
      <c r="C48" s="1" t="s">
        <v>7</v>
      </c>
      <c r="D48" s="1" t="s">
        <v>55</v>
      </c>
      <c r="E48" s="2">
        <v>5</v>
      </c>
    </row>
    <row r="49" spans="1:5" ht="15.75" customHeight="1" x14ac:dyDescent="0.25">
      <c r="A49" s="1" t="s">
        <v>332</v>
      </c>
      <c r="B49" s="1" t="s">
        <v>299</v>
      </c>
      <c r="C49" s="1" t="s">
        <v>11</v>
      </c>
      <c r="D49" s="1" t="s">
        <v>55</v>
      </c>
      <c r="E49" s="2"/>
    </row>
    <row r="50" spans="1:5" ht="15.75" customHeight="1" x14ac:dyDescent="0.25">
      <c r="A50" s="1" t="s">
        <v>333</v>
      </c>
      <c r="B50" s="1" t="s">
        <v>299</v>
      </c>
      <c r="C50" s="1" t="s">
        <v>7</v>
      </c>
      <c r="D50" s="1" t="s">
        <v>13</v>
      </c>
      <c r="E50" s="2">
        <v>5</v>
      </c>
    </row>
    <row r="51" spans="1:5" ht="15.75" customHeight="1" x14ac:dyDescent="0.25">
      <c r="A51" s="1" t="s">
        <v>199</v>
      </c>
      <c r="B51" s="1" t="s">
        <v>299</v>
      </c>
      <c r="C51" s="1" t="s">
        <v>11</v>
      </c>
      <c r="D51" s="1" t="s">
        <v>13</v>
      </c>
      <c r="E51" s="2"/>
    </row>
    <row r="52" spans="1:5" ht="15.75" customHeight="1" x14ac:dyDescent="0.25">
      <c r="A52" s="1" t="s">
        <v>334</v>
      </c>
      <c r="B52" s="1" t="s">
        <v>299</v>
      </c>
      <c r="C52" s="1" t="s">
        <v>7</v>
      </c>
      <c r="D52" s="1" t="s">
        <v>8</v>
      </c>
      <c r="E52" s="2">
        <v>5</v>
      </c>
    </row>
    <row r="53" spans="1:5" ht="15.75" customHeight="1" x14ac:dyDescent="0.25">
      <c r="A53" s="1" t="s">
        <v>142</v>
      </c>
      <c r="B53" s="1" t="s">
        <v>299</v>
      </c>
      <c r="C53" s="1" t="s">
        <v>11</v>
      </c>
      <c r="D53" s="1" t="s">
        <v>8</v>
      </c>
      <c r="E53" s="2"/>
    </row>
    <row r="54" spans="1:5" ht="15.75" customHeight="1" x14ac:dyDescent="0.25">
      <c r="A54" s="1" t="s">
        <v>335</v>
      </c>
      <c r="B54" s="1" t="s">
        <v>299</v>
      </c>
      <c r="C54" s="1" t="s">
        <v>7</v>
      </c>
      <c r="D54" s="1" t="s">
        <v>97</v>
      </c>
      <c r="E54" s="2">
        <v>5</v>
      </c>
    </row>
    <row r="55" spans="1:5" ht="15.75" customHeight="1" x14ac:dyDescent="0.25">
      <c r="A55" s="1" t="s">
        <v>336</v>
      </c>
      <c r="B55" s="1" t="s">
        <v>299</v>
      </c>
      <c r="C55" s="1" t="s">
        <v>11</v>
      </c>
      <c r="D55" s="1" t="s">
        <v>97</v>
      </c>
      <c r="E55" s="2"/>
    </row>
    <row r="56" spans="1:5" ht="15.75" customHeight="1" x14ac:dyDescent="0.25">
      <c r="D56" s="1" t="s">
        <v>61</v>
      </c>
      <c r="E56" s="3">
        <f>SUM(E2:E55)</f>
        <v>151</v>
      </c>
    </row>
    <row r="57" spans="1:5" ht="15.75" customHeight="1" x14ac:dyDescent="0.25">
      <c r="D57" s="1" t="s">
        <v>62</v>
      </c>
      <c r="E57" s="2">
        <v>17000</v>
      </c>
    </row>
    <row r="58" spans="1:5" ht="15.75" customHeight="1" x14ac:dyDescent="0.25">
      <c r="D58" s="1" t="s">
        <v>63</v>
      </c>
      <c r="E58" s="1">
        <f>E56*E57</f>
        <v>2567000</v>
      </c>
    </row>
    <row r="59" spans="1:5" ht="15.75" customHeight="1" x14ac:dyDescent="0.25">
      <c r="D59" s="1" t="s">
        <v>64</v>
      </c>
      <c r="E59" s="2">
        <v>1500000</v>
      </c>
    </row>
    <row r="60" spans="1:5" ht="15.75" customHeight="1" x14ac:dyDescent="0.25">
      <c r="D60" s="1" t="s">
        <v>65</v>
      </c>
      <c r="E60" s="2">
        <v>0</v>
      </c>
    </row>
    <row r="61" spans="1:5" ht="15.75" customHeight="1" x14ac:dyDescent="0.25">
      <c r="D61" s="1" t="s">
        <v>66</v>
      </c>
      <c r="E61" s="2">
        <v>0</v>
      </c>
    </row>
    <row r="62" spans="1:5" ht="15.75" customHeight="1" x14ac:dyDescent="0.25">
      <c r="D62" s="1" t="s">
        <v>67</v>
      </c>
      <c r="E62" s="2">
        <v>0</v>
      </c>
    </row>
    <row r="63" spans="1:5" ht="15.75" customHeight="1" x14ac:dyDescent="0.25">
      <c r="D63" s="1" t="s">
        <v>68</v>
      </c>
      <c r="E63" s="2">
        <v>0</v>
      </c>
    </row>
    <row r="64" spans="1:5" ht="15.75" customHeight="1" x14ac:dyDescent="0.25">
      <c r="D64" s="1" t="s">
        <v>69</v>
      </c>
      <c r="E64" s="3">
        <f>E58 - SUM(E59:E63)</f>
        <v>1067000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98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73</v>
      </c>
      <c r="B2" s="1" t="s">
        <v>337</v>
      </c>
      <c r="C2" s="1" t="s">
        <v>7</v>
      </c>
      <c r="D2" s="1" t="s">
        <v>8</v>
      </c>
      <c r="E2" s="2">
        <v>10</v>
      </c>
      <c r="F2" s="1" t="s">
        <v>253</v>
      </c>
    </row>
    <row r="3" spans="1:6" ht="15.75" x14ac:dyDescent="0.25">
      <c r="A3" s="1" t="s">
        <v>146</v>
      </c>
      <c r="B3" s="1" t="s">
        <v>337</v>
      </c>
      <c r="C3" s="1" t="s">
        <v>11</v>
      </c>
      <c r="D3" s="1" t="s">
        <v>8</v>
      </c>
      <c r="E3" s="2"/>
    </row>
    <row r="4" spans="1:6" ht="15.75" x14ac:dyDescent="0.25">
      <c r="A4" s="1" t="s">
        <v>338</v>
      </c>
      <c r="B4" s="1" t="s">
        <v>337</v>
      </c>
      <c r="C4" s="1" t="s">
        <v>7</v>
      </c>
      <c r="D4" s="1" t="s">
        <v>55</v>
      </c>
      <c r="E4" s="2">
        <v>10</v>
      </c>
      <c r="F4" s="1" t="s">
        <v>253</v>
      </c>
    </row>
    <row r="5" spans="1:6" ht="15.75" x14ac:dyDescent="0.25">
      <c r="A5" s="1" t="s">
        <v>147</v>
      </c>
      <c r="B5" s="1" t="s">
        <v>337</v>
      </c>
      <c r="C5" s="1" t="s">
        <v>11</v>
      </c>
      <c r="D5" s="1" t="s">
        <v>55</v>
      </c>
      <c r="E5" s="2"/>
    </row>
    <row r="6" spans="1:6" ht="15.75" x14ac:dyDescent="0.25">
      <c r="A6" s="1" t="s">
        <v>339</v>
      </c>
      <c r="B6" s="1" t="s">
        <v>337</v>
      </c>
      <c r="C6" s="1" t="s">
        <v>7</v>
      </c>
      <c r="D6" s="1" t="s">
        <v>13</v>
      </c>
      <c r="E6" s="2">
        <v>15</v>
      </c>
      <c r="F6" s="1" t="s">
        <v>340</v>
      </c>
    </row>
    <row r="7" spans="1:6" ht="15.75" x14ac:dyDescent="0.25">
      <c r="A7" s="1" t="s">
        <v>150</v>
      </c>
      <c r="B7" s="1" t="s">
        <v>337</v>
      </c>
      <c r="C7" s="1" t="s">
        <v>11</v>
      </c>
      <c r="D7" s="1" t="s">
        <v>13</v>
      </c>
      <c r="E7" s="2"/>
    </row>
    <row r="8" spans="1:6" ht="15.75" x14ac:dyDescent="0.25">
      <c r="A8" s="1" t="s">
        <v>341</v>
      </c>
      <c r="B8" s="1" t="s">
        <v>337</v>
      </c>
      <c r="C8" s="1" t="s">
        <v>7</v>
      </c>
      <c r="D8" s="1" t="s">
        <v>97</v>
      </c>
      <c r="E8" s="2">
        <f>15*1.5</f>
        <v>22.5</v>
      </c>
      <c r="F8" s="1" t="s">
        <v>340</v>
      </c>
    </row>
    <row r="9" spans="1:6" ht="15.75" x14ac:dyDescent="0.25">
      <c r="A9" s="1" t="s">
        <v>154</v>
      </c>
      <c r="B9" s="1" t="s">
        <v>337</v>
      </c>
      <c r="C9" s="1" t="s">
        <v>11</v>
      </c>
      <c r="D9" s="1" t="s">
        <v>97</v>
      </c>
      <c r="E9" s="2"/>
    </row>
    <row r="10" spans="1:6" ht="15.75" x14ac:dyDescent="0.25">
      <c r="A10" s="1" t="s">
        <v>342</v>
      </c>
      <c r="B10" s="1" t="s">
        <v>337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273</v>
      </c>
      <c r="B11" s="1" t="s">
        <v>337</v>
      </c>
      <c r="C11" s="1" t="s">
        <v>11</v>
      </c>
      <c r="D11" s="1" t="s">
        <v>13</v>
      </c>
      <c r="E11" s="2"/>
    </row>
    <row r="12" spans="1:6" ht="15.75" x14ac:dyDescent="0.25">
      <c r="A12" s="1" t="s">
        <v>343</v>
      </c>
      <c r="B12" s="1" t="s">
        <v>337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344</v>
      </c>
      <c r="B13" s="1" t="s">
        <v>337</v>
      </c>
      <c r="C13" s="1" t="s">
        <v>11</v>
      </c>
      <c r="D13" s="1" t="s">
        <v>13</v>
      </c>
      <c r="E13" s="2"/>
    </row>
    <row r="14" spans="1:6" ht="15.75" x14ac:dyDescent="0.25">
      <c r="A14" s="1" t="s">
        <v>278</v>
      </c>
      <c r="B14" s="1" t="s">
        <v>337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345</v>
      </c>
      <c r="B15" s="1" t="s">
        <v>337</v>
      </c>
      <c r="C15" s="1" t="s">
        <v>11</v>
      </c>
      <c r="D15" s="1" t="s">
        <v>13</v>
      </c>
      <c r="E15" s="2"/>
    </row>
    <row r="16" spans="1:6" ht="15.75" x14ac:dyDescent="0.25">
      <c r="A16" s="1" t="s">
        <v>240</v>
      </c>
      <c r="B16" s="1" t="s">
        <v>337</v>
      </c>
      <c r="C16" s="1" t="s">
        <v>7</v>
      </c>
      <c r="D16" s="1" t="s">
        <v>8</v>
      </c>
      <c r="E16" s="2">
        <v>5</v>
      </c>
    </row>
    <row r="17" spans="1:5" ht="15.75" x14ac:dyDescent="0.25">
      <c r="A17" s="1" t="s">
        <v>241</v>
      </c>
      <c r="B17" s="1" t="s">
        <v>337</v>
      </c>
      <c r="C17" s="1" t="s">
        <v>11</v>
      </c>
      <c r="D17" s="1" t="s">
        <v>8</v>
      </c>
      <c r="E17" s="2"/>
    </row>
    <row r="18" spans="1:5" ht="15.75" x14ac:dyDescent="0.25">
      <c r="A18" s="1" t="s">
        <v>327</v>
      </c>
      <c r="B18" s="1" t="s">
        <v>337</v>
      </c>
      <c r="C18" s="1" t="s">
        <v>7</v>
      </c>
      <c r="D18" s="1" t="s">
        <v>13</v>
      </c>
      <c r="E18" s="2">
        <v>5</v>
      </c>
    </row>
    <row r="19" spans="1:5" ht="15.75" customHeight="1" x14ac:dyDescent="0.25">
      <c r="A19" s="1" t="s">
        <v>346</v>
      </c>
      <c r="B19" s="1" t="s">
        <v>337</v>
      </c>
      <c r="C19" s="1" t="s">
        <v>11</v>
      </c>
      <c r="D19" s="1" t="s">
        <v>13</v>
      </c>
      <c r="E19" s="2"/>
    </row>
    <row r="20" spans="1:5" ht="15.75" customHeight="1" x14ac:dyDescent="0.25">
      <c r="A20" s="1" t="s">
        <v>347</v>
      </c>
      <c r="B20" s="1" t="s">
        <v>337</v>
      </c>
      <c r="C20" s="1" t="s">
        <v>7</v>
      </c>
      <c r="D20" s="1" t="s">
        <v>8</v>
      </c>
      <c r="E20" s="2">
        <v>5</v>
      </c>
    </row>
    <row r="21" spans="1:5" ht="15.75" customHeight="1" x14ac:dyDescent="0.25">
      <c r="A21" s="1" t="s">
        <v>332</v>
      </c>
      <c r="B21" s="1" t="s">
        <v>337</v>
      </c>
      <c r="C21" s="1" t="s">
        <v>11</v>
      </c>
      <c r="D21" s="1" t="s">
        <v>8</v>
      </c>
      <c r="E21" s="2"/>
    </row>
    <row r="22" spans="1:5" ht="15.75" customHeight="1" x14ac:dyDescent="0.25">
      <c r="A22" s="1" t="s">
        <v>225</v>
      </c>
      <c r="B22" s="1" t="s">
        <v>337</v>
      </c>
      <c r="C22" s="1" t="s">
        <v>7</v>
      </c>
      <c r="D22" s="1" t="s">
        <v>13</v>
      </c>
      <c r="E22" s="2">
        <v>5</v>
      </c>
    </row>
    <row r="23" spans="1:5" ht="15.75" customHeight="1" x14ac:dyDescent="0.25">
      <c r="A23" s="1" t="s">
        <v>348</v>
      </c>
      <c r="B23" s="1" t="s">
        <v>337</v>
      </c>
      <c r="C23" s="1" t="s">
        <v>11</v>
      </c>
      <c r="D23" s="1" t="s">
        <v>13</v>
      </c>
      <c r="E23" s="2"/>
    </row>
    <row r="24" spans="1:5" ht="15.75" customHeight="1" x14ac:dyDescent="0.25">
      <c r="A24" s="1" t="s">
        <v>349</v>
      </c>
      <c r="B24" s="1" t="s">
        <v>337</v>
      </c>
      <c r="C24" s="1" t="s">
        <v>7</v>
      </c>
      <c r="D24" s="1" t="s">
        <v>97</v>
      </c>
      <c r="E24" s="2">
        <v>5</v>
      </c>
    </row>
    <row r="25" spans="1:5" ht="15.75" customHeight="1" x14ac:dyDescent="0.25">
      <c r="A25" s="1" t="s">
        <v>350</v>
      </c>
      <c r="B25" s="1" t="s">
        <v>337</v>
      </c>
      <c r="C25" s="1" t="s">
        <v>11</v>
      </c>
      <c r="D25" s="1" t="s">
        <v>97</v>
      </c>
      <c r="E25" s="2"/>
    </row>
    <row r="26" spans="1:5" ht="15.75" customHeight="1" x14ac:dyDescent="0.25">
      <c r="D26" s="1" t="s">
        <v>61</v>
      </c>
      <c r="E26" s="3">
        <f>SUM(E2:E25)</f>
        <v>97.5</v>
      </c>
    </row>
    <row r="27" spans="1:5" ht="15.75" customHeight="1" x14ac:dyDescent="0.25">
      <c r="D27" s="1" t="s">
        <v>62</v>
      </c>
      <c r="E27" s="2">
        <v>15000</v>
      </c>
    </row>
    <row r="28" spans="1:5" ht="15.75" customHeight="1" x14ac:dyDescent="0.25">
      <c r="D28" s="1" t="s">
        <v>63</v>
      </c>
      <c r="E28" s="1">
        <f>E26*E27</f>
        <v>1462500</v>
      </c>
    </row>
    <row r="29" spans="1:5" ht="15.75" customHeight="1" x14ac:dyDescent="0.25">
      <c r="D29" s="1" t="s">
        <v>64</v>
      </c>
      <c r="E29" s="2">
        <v>0</v>
      </c>
    </row>
    <row r="30" spans="1:5" ht="15.75" customHeight="1" x14ac:dyDescent="0.25">
      <c r="D30" s="1" t="s">
        <v>65</v>
      </c>
      <c r="E30" s="2">
        <v>0</v>
      </c>
    </row>
    <row r="31" spans="1:5" ht="15.75" customHeight="1" x14ac:dyDescent="0.25">
      <c r="D31" s="1" t="s">
        <v>66</v>
      </c>
      <c r="E31" s="2">
        <v>0</v>
      </c>
    </row>
    <row r="32" spans="1:5" ht="15.75" customHeight="1" x14ac:dyDescent="0.25">
      <c r="D32" s="1" t="s">
        <v>67</v>
      </c>
      <c r="E32" s="2">
        <v>0</v>
      </c>
    </row>
    <row r="33" spans="4:5" ht="15.75" customHeight="1" x14ac:dyDescent="0.25">
      <c r="D33" s="1" t="s">
        <v>68</v>
      </c>
      <c r="E33" s="2">
        <v>0</v>
      </c>
    </row>
    <row r="34" spans="4:5" ht="15.75" customHeight="1" x14ac:dyDescent="0.25">
      <c r="D34" s="1" t="s">
        <v>69</v>
      </c>
      <c r="E34" s="3">
        <f>E28 - SUM(E29:E33)</f>
        <v>1462500</v>
      </c>
    </row>
    <row r="35" spans="4:5" ht="15.75" customHeight="1" x14ac:dyDescent="0.25"/>
    <row r="36" spans="4:5" ht="15.75" customHeight="1" x14ac:dyDescent="0.25"/>
    <row r="37" spans="4:5" ht="15.75" customHeight="1" x14ac:dyDescent="0.25"/>
    <row r="38" spans="4:5" ht="15.75" customHeight="1" x14ac:dyDescent="0.25"/>
    <row r="39" spans="4:5" ht="15.75" customHeight="1" x14ac:dyDescent="0.25"/>
    <row r="40" spans="4:5" ht="15.75" customHeight="1" x14ac:dyDescent="0.25"/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99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351</v>
      </c>
      <c r="B2" s="1" t="s">
        <v>352</v>
      </c>
      <c r="C2" s="1" t="s">
        <v>7</v>
      </c>
      <c r="D2" s="1" t="s">
        <v>97</v>
      </c>
      <c r="E2" s="2">
        <v>10</v>
      </c>
      <c r="F2" s="1" t="s">
        <v>72</v>
      </c>
    </row>
    <row r="3" spans="1:6" ht="15.75" x14ac:dyDescent="0.25">
      <c r="A3" s="1" t="s">
        <v>229</v>
      </c>
      <c r="B3" s="1" t="s">
        <v>352</v>
      </c>
      <c r="C3" s="1" t="s">
        <v>11</v>
      </c>
      <c r="D3" s="1" t="s">
        <v>97</v>
      </c>
      <c r="E3" s="2"/>
    </row>
    <row r="4" spans="1:6" ht="15.75" x14ac:dyDescent="0.25">
      <c r="A4" s="1" t="s">
        <v>301</v>
      </c>
      <c r="B4" s="1" t="s">
        <v>352</v>
      </c>
      <c r="C4" s="1" t="s">
        <v>7</v>
      </c>
      <c r="D4" s="1" t="s">
        <v>97</v>
      </c>
      <c r="E4" s="2">
        <v>7.5</v>
      </c>
      <c r="F4" s="1" t="s">
        <v>95</v>
      </c>
    </row>
    <row r="5" spans="1:6" ht="15.75" x14ac:dyDescent="0.25">
      <c r="A5" s="1" t="s">
        <v>302</v>
      </c>
      <c r="B5" s="1" t="s">
        <v>352</v>
      </c>
      <c r="C5" s="1" t="s">
        <v>11</v>
      </c>
      <c r="D5" s="1" t="s">
        <v>97</v>
      </c>
      <c r="E5" s="2"/>
    </row>
    <row r="6" spans="1:6" ht="15.75" x14ac:dyDescent="0.25">
      <c r="A6" s="1" t="s">
        <v>268</v>
      </c>
      <c r="B6" s="1" t="s">
        <v>352</v>
      </c>
      <c r="C6" s="1" t="s">
        <v>7</v>
      </c>
      <c r="D6" s="1" t="s">
        <v>13</v>
      </c>
      <c r="E6" s="2">
        <v>7.5</v>
      </c>
      <c r="F6" s="1" t="s">
        <v>95</v>
      </c>
    </row>
    <row r="7" spans="1:6" ht="15.75" x14ac:dyDescent="0.25">
      <c r="A7" s="1" t="s">
        <v>153</v>
      </c>
      <c r="B7" s="1" t="s">
        <v>352</v>
      </c>
      <c r="C7" s="1" t="s">
        <v>11</v>
      </c>
      <c r="D7" s="1" t="s">
        <v>13</v>
      </c>
      <c r="E7" s="2"/>
    </row>
    <row r="8" spans="1:6" ht="15.75" x14ac:dyDescent="0.25">
      <c r="A8" s="1" t="s">
        <v>353</v>
      </c>
      <c r="B8" s="1" t="s">
        <v>352</v>
      </c>
      <c r="C8" s="1" t="s">
        <v>7</v>
      </c>
      <c r="D8" s="1" t="s">
        <v>97</v>
      </c>
      <c r="E8" s="2">
        <v>7.5</v>
      </c>
      <c r="F8" s="1" t="s">
        <v>95</v>
      </c>
    </row>
    <row r="9" spans="1:6" ht="15.75" x14ac:dyDescent="0.25">
      <c r="A9" s="1" t="s">
        <v>101</v>
      </c>
      <c r="B9" s="1" t="s">
        <v>352</v>
      </c>
      <c r="C9" s="1" t="s">
        <v>11</v>
      </c>
      <c r="D9" s="1" t="s">
        <v>97</v>
      </c>
      <c r="E9" s="2"/>
    </row>
    <row r="10" spans="1:6" ht="15.75" x14ac:dyDescent="0.25">
      <c r="A10" s="1" t="s">
        <v>354</v>
      </c>
      <c r="B10" s="1" t="s">
        <v>352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103</v>
      </c>
      <c r="B11" s="1" t="s">
        <v>352</v>
      </c>
      <c r="C11" s="1" t="s">
        <v>11</v>
      </c>
      <c r="D11" s="1" t="s">
        <v>13</v>
      </c>
      <c r="E11" s="2"/>
    </row>
    <row r="12" spans="1:6" ht="15.75" x14ac:dyDescent="0.25">
      <c r="A12" s="1" t="s">
        <v>355</v>
      </c>
      <c r="B12" s="1" t="s">
        <v>352</v>
      </c>
      <c r="C12" s="1" t="s">
        <v>7</v>
      </c>
      <c r="D12" s="1" t="s">
        <v>55</v>
      </c>
      <c r="E12" s="2">
        <v>5</v>
      </c>
    </row>
    <row r="13" spans="1:6" ht="15.75" x14ac:dyDescent="0.25">
      <c r="A13" s="1" t="s">
        <v>271</v>
      </c>
      <c r="B13" s="1" t="s">
        <v>352</v>
      </c>
      <c r="C13" s="1" t="s">
        <v>11</v>
      </c>
      <c r="D13" s="1" t="s">
        <v>55</v>
      </c>
      <c r="E13" s="2"/>
    </row>
    <row r="14" spans="1:6" ht="15.75" x14ac:dyDescent="0.25">
      <c r="A14" s="1" t="s">
        <v>356</v>
      </c>
      <c r="B14" s="1" t="s">
        <v>352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77</v>
      </c>
      <c r="B15" s="1" t="s">
        <v>352</v>
      </c>
      <c r="C15" s="1" t="s">
        <v>11</v>
      </c>
      <c r="D15" s="1" t="s">
        <v>13</v>
      </c>
      <c r="E15" s="2"/>
    </row>
    <row r="16" spans="1:6" ht="15.75" x14ac:dyDescent="0.25">
      <c r="A16" s="1" t="s">
        <v>357</v>
      </c>
      <c r="B16" s="1" t="s">
        <v>352</v>
      </c>
      <c r="C16" s="1" t="s">
        <v>7</v>
      </c>
      <c r="D16" s="1" t="s">
        <v>55</v>
      </c>
      <c r="E16" s="2">
        <v>4</v>
      </c>
    </row>
    <row r="17" spans="1:5" ht="15.75" x14ac:dyDescent="0.25">
      <c r="A17" s="1" t="s">
        <v>358</v>
      </c>
      <c r="B17" s="1" t="s">
        <v>352</v>
      </c>
      <c r="C17" s="1" t="s">
        <v>11</v>
      </c>
      <c r="D17" s="1" t="s">
        <v>55</v>
      </c>
      <c r="E17" s="2"/>
    </row>
    <row r="18" spans="1:5" ht="15.75" x14ac:dyDescent="0.25">
      <c r="A18" s="1" t="s">
        <v>342</v>
      </c>
      <c r="B18" s="1" t="s">
        <v>352</v>
      </c>
      <c r="C18" s="1" t="s">
        <v>7</v>
      </c>
      <c r="D18" s="1" t="s">
        <v>97</v>
      </c>
      <c r="E18" s="2">
        <v>5</v>
      </c>
    </row>
    <row r="19" spans="1:5" ht="15.75" x14ac:dyDescent="0.25">
      <c r="A19" s="1" t="s">
        <v>359</v>
      </c>
      <c r="B19" s="1" t="s">
        <v>352</v>
      </c>
      <c r="C19" s="1" t="s">
        <v>11</v>
      </c>
      <c r="D19" s="1" t="s">
        <v>97</v>
      </c>
      <c r="E19" s="2"/>
    </row>
    <row r="20" spans="1:5" ht="15.75" x14ac:dyDescent="0.25">
      <c r="A20" s="1" t="s">
        <v>360</v>
      </c>
      <c r="B20" s="1" t="s">
        <v>352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361</v>
      </c>
      <c r="B21" s="1" t="s">
        <v>352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362</v>
      </c>
      <c r="B22" s="1" t="s">
        <v>352</v>
      </c>
      <c r="C22" s="1" t="s">
        <v>7</v>
      </c>
      <c r="D22" s="1" t="s">
        <v>97</v>
      </c>
      <c r="E22" s="2">
        <v>5</v>
      </c>
    </row>
    <row r="23" spans="1:5" ht="15.75" customHeight="1" x14ac:dyDescent="0.25">
      <c r="A23" s="1" t="s">
        <v>27</v>
      </c>
      <c r="B23" s="1" t="s">
        <v>352</v>
      </c>
      <c r="C23" s="1" t="s">
        <v>11</v>
      </c>
      <c r="D23" s="1" t="s">
        <v>97</v>
      </c>
      <c r="E23" s="2"/>
    </row>
    <row r="24" spans="1:5" ht="15.75" customHeight="1" x14ac:dyDescent="0.25">
      <c r="A24" s="1" t="s">
        <v>363</v>
      </c>
      <c r="B24" s="1" t="s">
        <v>352</v>
      </c>
      <c r="C24" s="1" t="s">
        <v>7</v>
      </c>
      <c r="D24" s="1" t="s">
        <v>97</v>
      </c>
      <c r="E24" s="2">
        <v>5</v>
      </c>
    </row>
    <row r="25" spans="1:5" ht="15.75" customHeight="1" x14ac:dyDescent="0.25">
      <c r="A25" s="1" t="s">
        <v>364</v>
      </c>
      <c r="B25" s="1" t="s">
        <v>352</v>
      </c>
      <c r="C25" s="1" t="s">
        <v>11</v>
      </c>
      <c r="D25" s="1" t="s">
        <v>97</v>
      </c>
      <c r="E25" s="2"/>
    </row>
    <row r="26" spans="1:5" ht="15.75" customHeight="1" x14ac:dyDescent="0.25">
      <c r="A26" s="1" t="s">
        <v>365</v>
      </c>
      <c r="B26" s="1" t="s">
        <v>352</v>
      </c>
      <c r="C26" s="1" t="s">
        <v>7</v>
      </c>
      <c r="D26" s="1" t="s">
        <v>13</v>
      </c>
      <c r="E26" s="2">
        <v>5</v>
      </c>
    </row>
    <row r="27" spans="1:5" ht="15.75" customHeight="1" x14ac:dyDescent="0.25">
      <c r="A27" s="1" t="s">
        <v>113</v>
      </c>
      <c r="B27" s="1" t="s">
        <v>352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313</v>
      </c>
      <c r="B28" s="1" t="s">
        <v>352</v>
      </c>
      <c r="C28" s="1" t="s">
        <v>7</v>
      </c>
      <c r="D28" s="1" t="s">
        <v>55</v>
      </c>
      <c r="E28" s="2">
        <v>6</v>
      </c>
    </row>
    <row r="29" spans="1:5" ht="15.75" customHeight="1" x14ac:dyDescent="0.25">
      <c r="A29" s="1" t="s">
        <v>116</v>
      </c>
      <c r="B29" s="1" t="s">
        <v>352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366</v>
      </c>
      <c r="B30" s="1" t="s">
        <v>352</v>
      </c>
      <c r="C30" s="1" t="s">
        <v>7</v>
      </c>
      <c r="D30" s="1" t="s">
        <v>13</v>
      </c>
      <c r="E30" s="2">
        <v>5</v>
      </c>
    </row>
    <row r="31" spans="1:5" ht="15.75" customHeight="1" x14ac:dyDescent="0.25">
      <c r="A31" s="1" t="s">
        <v>367</v>
      </c>
      <c r="B31" s="1" t="s">
        <v>352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368</v>
      </c>
      <c r="B32" s="1" t="s">
        <v>352</v>
      </c>
      <c r="C32" s="1" t="s">
        <v>7</v>
      </c>
      <c r="D32" s="1" t="s">
        <v>8</v>
      </c>
      <c r="E32" s="2">
        <v>5</v>
      </c>
    </row>
    <row r="33" spans="1:5" ht="15.75" customHeight="1" x14ac:dyDescent="0.25">
      <c r="A33" s="1" t="s">
        <v>260</v>
      </c>
      <c r="B33" s="1" t="s">
        <v>352</v>
      </c>
      <c r="C33" s="1" t="s">
        <v>11</v>
      </c>
      <c r="D33" s="1" t="s">
        <v>8</v>
      </c>
      <c r="E33" s="2"/>
    </row>
    <row r="34" spans="1:5" ht="15.75" customHeight="1" x14ac:dyDescent="0.25">
      <c r="A34" s="1" t="s">
        <v>369</v>
      </c>
      <c r="B34" s="1" t="s">
        <v>352</v>
      </c>
      <c r="C34" s="1" t="s">
        <v>7</v>
      </c>
      <c r="D34" s="1" t="s">
        <v>97</v>
      </c>
      <c r="E34" s="2">
        <v>10</v>
      </c>
    </row>
    <row r="35" spans="1:5" ht="15.75" customHeight="1" x14ac:dyDescent="0.25">
      <c r="A35" s="1" t="s">
        <v>316</v>
      </c>
      <c r="B35" s="1" t="s">
        <v>352</v>
      </c>
      <c r="C35" s="1" t="s">
        <v>11</v>
      </c>
      <c r="D35" s="1" t="s">
        <v>97</v>
      </c>
      <c r="E35" s="2"/>
    </row>
    <row r="36" spans="1:5" ht="15.75" customHeight="1" x14ac:dyDescent="0.25">
      <c r="A36" s="1" t="s">
        <v>370</v>
      </c>
      <c r="B36" s="1" t="s">
        <v>352</v>
      </c>
      <c r="C36" s="1" t="s">
        <v>7</v>
      </c>
      <c r="D36" s="1" t="s">
        <v>97</v>
      </c>
      <c r="E36" s="2">
        <v>5</v>
      </c>
    </row>
    <row r="37" spans="1:5" ht="15.75" customHeight="1" x14ac:dyDescent="0.25">
      <c r="A37" s="1" t="s">
        <v>39</v>
      </c>
      <c r="B37" s="1" t="s">
        <v>352</v>
      </c>
      <c r="C37" s="1" t="s">
        <v>11</v>
      </c>
      <c r="D37" s="1" t="s">
        <v>97</v>
      </c>
      <c r="E37" s="2"/>
    </row>
    <row r="38" spans="1:5" ht="15.75" customHeight="1" x14ac:dyDescent="0.25">
      <c r="A38" s="1" t="s">
        <v>371</v>
      </c>
      <c r="B38" s="1" t="s">
        <v>352</v>
      </c>
      <c r="C38" s="1" t="s">
        <v>7</v>
      </c>
      <c r="D38" s="1" t="s">
        <v>97</v>
      </c>
      <c r="E38" s="2">
        <v>5</v>
      </c>
    </row>
    <row r="39" spans="1:5" ht="15.75" customHeight="1" x14ac:dyDescent="0.25">
      <c r="A39" s="1" t="s">
        <v>128</v>
      </c>
      <c r="B39" s="1" t="s">
        <v>352</v>
      </c>
      <c r="C39" s="1" t="s">
        <v>11</v>
      </c>
      <c r="D39" s="1" t="s">
        <v>97</v>
      </c>
      <c r="E39" s="2"/>
    </row>
    <row r="40" spans="1:5" ht="15.75" customHeight="1" x14ac:dyDescent="0.25">
      <c r="A40" s="1" t="s">
        <v>372</v>
      </c>
      <c r="B40" s="1" t="s">
        <v>352</v>
      </c>
      <c r="C40" s="1" t="s">
        <v>7</v>
      </c>
      <c r="D40" s="1" t="s">
        <v>97</v>
      </c>
      <c r="E40" s="2">
        <v>5</v>
      </c>
    </row>
    <row r="41" spans="1:5" ht="15.75" customHeight="1" x14ac:dyDescent="0.25">
      <c r="A41" s="1" t="s">
        <v>373</v>
      </c>
      <c r="B41" s="1" t="s">
        <v>352</v>
      </c>
      <c r="C41" s="1" t="s">
        <v>11</v>
      </c>
      <c r="D41" s="1" t="s">
        <v>97</v>
      </c>
      <c r="E41" s="2"/>
    </row>
    <row r="42" spans="1:5" ht="15.75" customHeight="1" x14ac:dyDescent="0.25">
      <c r="A42" s="1" t="s">
        <v>374</v>
      </c>
      <c r="B42" s="1" t="s">
        <v>375</v>
      </c>
      <c r="C42" s="1" t="s">
        <v>7</v>
      </c>
      <c r="D42" s="1" t="s">
        <v>97</v>
      </c>
      <c r="E42" s="3">
        <v>5</v>
      </c>
    </row>
    <row r="43" spans="1:5" ht="15.75" customHeight="1" x14ac:dyDescent="0.25">
      <c r="A43" s="1" t="s">
        <v>137</v>
      </c>
      <c r="B43" s="1" t="s">
        <v>375</v>
      </c>
      <c r="C43" s="1" t="s">
        <v>11</v>
      </c>
      <c r="D43" s="1" t="s">
        <v>97</v>
      </c>
      <c r="E43" s="3"/>
    </row>
    <row r="44" spans="1:5" ht="15.75" customHeight="1" x14ac:dyDescent="0.25">
      <c r="A44" s="1" t="s">
        <v>376</v>
      </c>
      <c r="B44" s="1" t="s">
        <v>375</v>
      </c>
      <c r="C44" s="1" t="s">
        <v>7</v>
      </c>
      <c r="D44" s="1" t="s">
        <v>97</v>
      </c>
      <c r="E44" s="2">
        <v>5</v>
      </c>
    </row>
    <row r="45" spans="1:5" ht="15.75" customHeight="1" x14ac:dyDescent="0.25">
      <c r="A45" s="1" t="s">
        <v>332</v>
      </c>
      <c r="B45" s="1" t="s">
        <v>375</v>
      </c>
      <c r="C45" s="1" t="s">
        <v>11</v>
      </c>
      <c r="D45" s="1" t="s">
        <v>97</v>
      </c>
      <c r="E45" s="3"/>
    </row>
    <row r="46" spans="1:5" ht="15.75" customHeight="1" x14ac:dyDescent="0.25">
      <c r="A46" s="1" t="s">
        <v>138</v>
      </c>
      <c r="E46" s="2">
        <v>5</v>
      </c>
    </row>
    <row r="47" spans="1:5" ht="15.75" customHeight="1" x14ac:dyDescent="0.25">
      <c r="A47" s="1" t="s">
        <v>377</v>
      </c>
      <c r="B47" s="1" t="s">
        <v>375</v>
      </c>
      <c r="C47" s="1" t="s">
        <v>11</v>
      </c>
      <c r="D47" s="1" t="s">
        <v>97</v>
      </c>
      <c r="E47" s="2"/>
    </row>
    <row r="48" spans="1:5" ht="15.75" customHeight="1" x14ac:dyDescent="0.25">
      <c r="A48" s="1" t="s">
        <v>377</v>
      </c>
      <c r="B48" s="1" t="s">
        <v>375</v>
      </c>
      <c r="C48" s="1" t="s">
        <v>7</v>
      </c>
      <c r="D48" s="1" t="s">
        <v>97</v>
      </c>
      <c r="E48" s="2">
        <v>5</v>
      </c>
    </row>
    <row r="49" spans="1:5" ht="15.75" customHeight="1" x14ac:dyDescent="0.25">
      <c r="A49" s="1" t="s">
        <v>378</v>
      </c>
      <c r="B49" s="1" t="s">
        <v>375</v>
      </c>
      <c r="C49" s="1" t="s">
        <v>11</v>
      </c>
      <c r="D49" s="1" t="s">
        <v>97</v>
      </c>
      <c r="E49" s="2"/>
    </row>
    <row r="50" spans="1:5" ht="15.75" customHeight="1" x14ac:dyDescent="0.25">
      <c r="A50" s="1" t="s">
        <v>379</v>
      </c>
      <c r="B50" s="1" t="s">
        <v>375</v>
      </c>
      <c r="C50" s="1" t="s">
        <v>7</v>
      </c>
      <c r="D50" s="1" t="s">
        <v>13</v>
      </c>
      <c r="E50" s="2">
        <v>5</v>
      </c>
    </row>
    <row r="51" spans="1:5" ht="15.75" customHeight="1" x14ac:dyDescent="0.25">
      <c r="A51" s="1" t="s">
        <v>56</v>
      </c>
      <c r="B51" s="1" t="s">
        <v>375</v>
      </c>
      <c r="C51" s="1" t="s">
        <v>11</v>
      </c>
      <c r="D51" s="1" t="s">
        <v>13</v>
      </c>
      <c r="E51" s="3"/>
    </row>
    <row r="52" spans="1:5" ht="15.75" customHeight="1" x14ac:dyDescent="0.25">
      <c r="A52" s="1" t="s">
        <v>380</v>
      </c>
      <c r="B52" s="1" t="s">
        <v>375</v>
      </c>
      <c r="C52" s="1" t="s">
        <v>7</v>
      </c>
      <c r="D52" s="1" t="s">
        <v>97</v>
      </c>
      <c r="E52" s="3">
        <v>5</v>
      </c>
    </row>
    <row r="53" spans="1:5" ht="15.75" customHeight="1" x14ac:dyDescent="0.25">
      <c r="A53" s="1" t="s">
        <v>335</v>
      </c>
      <c r="B53" s="1" t="s">
        <v>375</v>
      </c>
      <c r="C53" s="1" t="s">
        <v>11</v>
      </c>
      <c r="D53" s="1" t="s">
        <v>97</v>
      </c>
      <c r="E53" s="3"/>
    </row>
    <row r="54" spans="1:5" ht="15.75" customHeight="1" x14ac:dyDescent="0.25">
      <c r="D54" s="5" t="s">
        <v>61</v>
      </c>
      <c r="E54" s="6">
        <f>SUM(E2:E53)</f>
        <v>147.5</v>
      </c>
    </row>
    <row r="55" spans="1:5" ht="15.75" customHeight="1" x14ac:dyDescent="0.25">
      <c r="D55" s="5"/>
      <c r="E55" s="5"/>
    </row>
    <row r="56" spans="1:5" ht="15.75" customHeight="1" x14ac:dyDescent="0.25">
      <c r="D56" s="5" t="s">
        <v>62</v>
      </c>
      <c r="E56" s="6">
        <v>15000</v>
      </c>
    </row>
    <row r="57" spans="1:5" ht="15.75" customHeight="1" x14ac:dyDescent="0.25">
      <c r="D57" s="5" t="s">
        <v>63</v>
      </c>
      <c r="E57" s="7">
        <f>E54*E56</f>
        <v>2212500</v>
      </c>
    </row>
    <row r="58" spans="1:5" ht="15.75" customHeight="1" x14ac:dyDescent="0.25">
      <c r="D58" s="5" t="s">
        <v>64</v>
      </c>
      <c r="E58" s="6">
        <v>1500000</v>
      </c>
    </row>
    <row r="59" spans="1:5" ht="15.75" customHeight="1" x14ac:dyDescent="0.25">
      <c r="D59" s="5" t="s">
        <v>65</v>
      </c>
      <c r="E59" s="6">
        <v>0</v>
      </c>
    </row>
    <row r="60" spans="1:5" ht="15.75" customHeight="1" x14ac:dyDescent="0.25">
      <c r="D60" s="5" t="s">
        <v>66</v>
      </c>
      <c r="E60" s="6">
        <v>0</v>
      </c>
    </row>
    <row r="61" spans="1:5" ht="15.75" customHeight="1" x14ac:dyDescent="0.25">
      <c r="D61" s="5" t="s">
        <v>67</v>
      </c>
      <c r="E61" s="6">
        <v>0</v>
      </c>
    </row>
    <row r="62" spans="1:5" ht="15.75" customHeight="1" x14ac:dyDescent="0.25">
      <c r="D62" s="5" t="s">
        <v>68</v>
      </c>
      <c r="E62" s="6">
        <v>0</v>
      </c>
    </row>
    <row r="63" spans="1:5" ht="15.75" customHeight="1" x14ac:dyDescent="0.25">
      <c r="D63" s="5" t="s">
        <v>69</v>
      </c>
      <c r="E63" s="6">
        <f>E57 - SUM(E58:E62)</f>
        <v>712500</v>
      </c>
    </row>
    <row r="64" spans="1:5" ht="15.75" customHeight="1" x14ac:dyDescent="0.25">
      <c r="D64" s="5"/>
      <c r="E64" s="6"/>
    </row>
    <row r="65" spans="4:5" ht="15.75" customHeight="1" x14ac:dyDescent="0.25">
      <c r="D65" s="5"/>
      <c r="E65" s="6"/>
    </row>
    <row r="66" spans="4:5" ht="15.75" customHeight="1" x14ac:dyDescent="0.25">
      <c r="D66" s="5"/>
      <c r="E66" s="6"/>
    </row>
    <row r="67" spans="4:5" ht="15.75" customHeight="1" x14ac:dyDescent="0.25">
      <c r="D67" s="5"/>
      <c r="E67" s="6"/>
    </row>
    <row r="68" spans="4:5" ht="15.75" customHeight="1" x14ac:dyDescent="0.25">
      <c r="D68" s="5"/>
      <c r="E68" s="6"/>
    </row>
    <row r="69" spans="4:5" ht="15.75" customHeight="1" x14ac:dyDescent="0.25">
      <c r="D69" s="5"/>
      <c r="E69" s="6"/>
    </row>
    <row r="70" spans="4:5" ht="15.75" customHeight="1" x14ac:dyDescent="0.25"/>
    <row r="71" spans="4:5" ht="15.75" customHeight="1" x14ac:dyDescent="0.25"/>
    <row r="72" spans="4:5" ht="15.75" customHeight="1" x14ac:dyDescent="0.25"/>
    <row r="73" spans="4:5" ht="15.75" customHeight="1" x14ac:dyDescent="0.25"/>
    <row r="74" spans="4:5" ht="15.75" customHeight="1" x14ac:dyDescent="0.25"/>
    <row r="75" spans="4:5" ht="15.75" customHeight="1" x14ac:dyDescent="0.25"/>
    <row r="76" spans="4:5" ht="15.75" customHeight="1" x14ac:dyDescent="0.25"/>
    <row r="77" spans="4:5" ht="15.75" customHeight="1" x14ac:dyDescent="0.25"/>
    <row r="78" spans="4:5" ht="15.75" customHeight="1" x14ac:dyDescent="0.25"/>
    <row r="79" spans="4:5" ht="15.75" customHeight="1" x14ac:dyDescent="0.25"/>
    <row r="80" spans="4: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96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381</v>
      </c>
      <c r="B2" s="1" t="s">
        <v>382</v>
      </c>
      <c r="C2" s="1" t="s">
        <v>7</v>
      </c>
      <c r="D2" s="1" t="s">
        <v>97</v>
      </c>
      <c r="E2" s="2">
        <v>10</v>
      </c>
      <c r="F2" s="1" t="s">
        <v>72</v>
      </c>
    </row>
    <row r="3" spans="1:6" ht="15.75" x14ac:dyDescent="0.25">
      <c r="A3" s="1" t="s">
        <v>383</v>
      </c>
      <c r="B3" s="1" t="s">
        <v>382</v>
      </c>
      <c r="C3" s="1" t="s">
        <v>11</v>
      </c>
      <c r="D3" s="1" t="s">
        <v>97</v>
      </c>
      <c r="E3" s="2"/>
    </row>
    <row r="4" spans="1:6" ht="15.75" x14ac:dyDescent="0.25">
      <c r="A4" s="1" t="s">
        <v>384</v>
      </c>
      <c r="B4" s="1" t="s">
        <v>382</v>
      </c>
      <c r="C4" s="1" t="s">
        <v>7</v>
      </c>
      <c r="D4" s="1" t="s">
        <v>97</v>
      </c>
      <c r="E4" s="2">
        <v>5</v>
      </c>
    </row>
    <row r="5" spans="1:6" ht="15.75" x14ac:dyDescent="0.25">
      <c r="A5" s="1" t="s">
        <v>385</v>
      </c>
      <c r="B5" s="1" t="s">
        <v>382</v>
      </c>
      <c r="C5" s="1" t="s">
        <v>11</v>
      </c>
      <c r="D5" s="1" t="s">
        <v>97</v>
      </c>
      <c r="E5" s="2"/>
    </row>
    <row r="6" spans="1:6" ht="15.75" x14ac:dyDescent="0.25">
      <c r="A6" s="1" t="s">
        <v>386</v>
      </c>
      <c r="B6" s="1" t="s">
        <v>382</v>
      </c>
      <c r="C6" s="1" t="s">
        <v>7</v>
      </c>
      <c r="D6" s="1" t="s">
        <v>97</v>
      </c>
      <c r="E6" s="2">
        <v>5</v>
      </c>
    </row>
    <row r="7" spans="1:6" ht="15.75" x14ac:dyDescent="0.25">
      <c r="A7" s="1" t="s">
        <v>387</v>
      </c>
      <c r="B7" s="1" t="s">
        <v>382</v>
      </c>
      <c r="C7" s="1" t="s">
        <v>11</v>
      </c>
      <c r="D7" s="1" t="s">
        <v>97</v>
      </c>
      <c r="E7" s="2"/>
    </row>
    <row r="8" spans="1:6" ht="15.75" x14ac:dyDescent="0.25">
      <c r="A8" s="1" t="s">
        <v>388</v>
      </c>
      <c r="B8" s="1" t="s">
        <v>382</v>
      </c>
      <c r="C8" s="1" t="s">
        <v>7</v>
      </c>
      <c r="D8" s="1" t="s">
        <v>97</v>
      </c>
      <c r="E8" s="2">
        <v>5</v>
      </c>
    </row>
    <row r="9" spans="1:6" ht="15.75" x14ac:dyDescent="0.25">
      <c r="A9" s="1" t="s">
        <v>389</v>
      </c>
      <c r="B9" s="1" t="s">
        <v>382</v>
      </c>
      <c r="C9" s="1" t="s">
        <v>11</v>
      </c>
      <c r="D9" s="1" t="s">
        <v>97</v>
      </c>
      <c r="E9" s="2"/>
    </row>
    <row r="10" spans="1:6" ht="15.75" x14ac:dyDescent="0.25">
      <c r="A10" s="1" t="s">
        <v>390</v>
      </c>
      <c r="B10" s="1" t="s">
        <v>382</v>
      </c>
      <c r="C10" s="1" t="s">
        <v>7</v>
      </c>
      <c r="D10" s="1" t="s">
        <v>97</v>
      </c>
      <c r="E10" s="2">
        <v>5</v>
      </c>
    </row>
    <row r="11" spans="1:6" ht="15.75" x14ac:dyDescent="0.25">
      <c r="A11" s="1" t="s">
        <v>391</v>
      </c>
      <c r="B11" s="1" t="s">
        <v>382</v>
      </c>
      <c r="C11" s="1" t="s">
        <v>11</v>
      </c>
      <c r="D11" s="1" t="s">
        <v>97</v>
      </c>
      <c r="E11" s="2"/>
    </row>
    <row r="12" spans="1:6" ht="15.75" x14ac:dyDescent="0.25">
      <c r="A12" s="1" t="s">
        <v>392</v>
      </c>
      <c r="B12" s="1" t="s">
        <v>382</v>
      </c>
      <c r="C12" s="1" t="s">
        <v>7</v>
      </c>
      <c r="D12" s="1" t="s">
        <v>97</v>
      </c>
      <c r="E12" s="2">
        <v>5</v>
      </c>
    </row>
    <row r="13" spans="1:6" ht="15.75" x14ac:dyDescent="0.25">
      <c r="A13" s="1" t="s">
        <v>393</v>
      </c>
      <c r="B13" s="1" t="s">
        <v>382</v>
      </c>
      <c r="C13" s="1" t="s">
        <v>11</v>
      </c>
      <c r="D13" s="1" t="s">
        <v>97</v>
      </c>
      <c r="E13" s="2"/>
    </row>
    <row r="14" spans="1:6" ht="15.75" x14ac:dyDescent="0.25">
      <c r="A14" s="1" t="s">
        <v>394</v>
      </c>
      <c r="B14" s="1" t="s">
        <v>382</v>
      </c>
      <c r="C14" s="1" t="s">
        <v>7</v>
      </c>
      <c r="D14" s="1" t="s">
        <v>97</v>
      </c>
      <c r="E14" s="2">
        <v>5</v>
      </c>
    </row>
    <row r="15" spans="1:6" ht="15.75" x14ac:dyDescent="0.25">
      <c r="A15" s="1" t="s">
        <v>395</v>
      </c>
      <c r="B15" s="1" t="s">
        <v>382</v>
      </c>
      <c r="C15" s="1" t="s">
        <v>11</v>
      </c>
      <c r="D15" s="1" t="s">
        <v>97</v>
      </c>
      <c r="E15" s="2"/>
    </row>
    <row r="16" spans="1:6" ht="15.75" x14ac:dyDescent="0.25">
      <c r="A16" s="1" t="s">
        <v>396</v>
      </c>
      <c r="B16" s="1" t="s">
        <v>382</v>
      </c>
      <c r="C16" s="1" t="s">
        <v>7</v>
      </c>
      <c r="D16" s="1" t="s">
        <v>97</v>
      </c>
      <c r="E16" s="2">
        <v>10</v>
      </c>
    </row>
    <row r="17" spans="1:5" ht="15.75" x14ac:dyDescent="0.25">
      <c r="A17" s="1" t="s">
        <v>397</v>
      </c>
      <c r="B17" s="1" t="s">
        <v>382</v>
      </c>
      <c r="C17" s="1" t="s">
        <v>11</v>
      </c>
      <c r="D17" s="1" t="s">
        <v>97</v>
      </c>
      <c r="E17" s="2"/>
    </row>
    <row r="18" spans="1:5" ht="15.75" x14ac:dyDescent="0.25">
      <c r="A18" s="1" t="s">
        <v>398</v>
      </c>
      <c r="B18" s="1" t="s">
        <v>382</v>
      </c>
      <c r="C18" s="1" t="s">
        <v>7</v>
      </c>
      <c r="D18" s="1" t="s">
        <v>97</v>
      </c>
      <c r="E18" s="2">
        <v>5</v>
      </c>
    </row>
    <row r="19" spans="1:5" ht="15.75" customHeight="1" x14ac:dyDescent="0.25">
      <c r="A19" s="1" t="s">
        <v>275</v>
      </c>
      <c r="B19" s="1" t="s">
        <v>382</v>
      </c>
      <c r="C19" s="1" t="s">
        <v>11</v>
      </c>
      <c r="D19" s="1" t="s">
        <v>97</v>
      </c>
      <c r="E19" s="2"/>
    </row>
    <row r="20" spans="1:5" ht="15.75" customHeight="1" x14ac:dyDescent="0.25">
      <c r="A20" s="1" t="s">
        <v>362</v>
      </c>
      <c r="B20" s="1" t="s">
        <v>382</v>
      </c>
      <c r="C20" s="1" t="s">
        <v>7</v>
      </c>
      <c r="D20" s="1" t="s">
        <v>8</v>
      </c>
      <c r="E20" s="2">
        <v>5</v>
      </c>
    </row>
    <row r="21" spans="1:5" ht="15.75" customHeight="1" x14ac:dyDescent="0.25">
      <c r="A21" s="1" t="s">
        <v>27</v>
      </c>
      <c r="B21" s="1" t="s">
        <v>382</v>
      </c>
      <c r="C21" s="1" t="s">
        <v>11</v>
      </c>
      <c r="D21" s="1" t="s">
        <v>8</v>
      </c>
      <c r="E21" s="2"/>
    </row>
    <row r="22" spans="1:5" ht="15.75" customHeight="1" x14ac:dyDescent="0.25">
      <c r="A22" s="1" t="s">
        <v>399</v>
      </c>
      <c r="B22" s="1" t="s">
        <v>382</v>
      </c>
      <c r="C22" s="1" t="s">
        <v>7</v>
      </c>
      <c r="D22" s="1" t="s">
        <v>97</v>
      </c>
      <c r="E22" s="2">
        <v>5</v>
      </c>
    </row>
    <row r="23" spans="1:5" ht="15.75" customHeight="1" x14ac:dyDescent="0.25">
      <c r="A23" s="1" t="s">
        <v>400</v>
      </c>
      <c r="B23" s="1" t="s">
        <v>382</v>
      </c>
      <c r="C23" s="1" t="s">
        <v>11</v>
      </c>
      <c r="D23" s="1" t="s">
        <v>97</v>
      </c>
      <c r="E23" s="2"/>
    </row>
    <row r="24" spans="1:5" ht="15.75" customHeight="1" x14ac:dyDescent="0.25">
      <c r="A24" s="1" t="s">
        <v>138</v>
      </c>
      <c r="E24" s="2">
        <v>5</v>
      </c>
    </row>
    <row r="25" spans="1:5" ht="15.75" customHeight="1" x14ac:dyDescent="0.25">
      <c r="A25" s="1" t="s">
        <v>113</v>
      </c>
      <c r="B25" s="1" t="s">
        <v>382</v>
      </c>
      <c r="C25" s="1" t="s">
        <v>11</v>
      </c>
      <c r="D25" s="1" t="s">
        <v>97</v>
      </c>
      <c r="E25" s="2"/>
    </row>
    <row r="26" spans="1:5" ht="15.75" customHeight="1" x14ac:dyDescent="0.25">
      <c r="A26" s="1" t="s">
        <v>401</v>
      </c>
      <c r="B26" s="1" t="s">
        <v>382</v>
      </c>
      <c r="C26" s="1" t="s">
        <v>7</v>
      </c>
      <c r="D26" s="1" t="s">
        <v>97</v>
      </c>
      <c r="E26" s="2">
        <v>5</v>
      </c>
    </row>
    <row r="27" spans="1:5" ht="15.75" customHeight="1" x14ac:dyDescent="0.25">
      <c r="A27" s="1" t="s">
        <v>402</v>
      </c>
      <c r="B27" s="1" t="s">
        <v>382</v>
      </c>
      <c r="C27" s="1" t="s">
        <v>11</v>
      </c>
      <c r="D27" s="1" t="s">
        <v>97</v>
      </c>
      <c r="E27" s="2"/>
    </row>
    <row r="28" spans="1:5" ht="15.75" customHeight="1" x14ac:dyDescent="0.25">
      <c r="A28" s="1" t="s">
        <v>403</v>
      </c>
      <c r="B28" s="1" t="s">
        <v>382</v>
      </c>
      <c r="C28" s="1" t="s">
        <v>7</v>
      </c>
      <c r="D28" s="1" t="s">
        <v>8</v>
      </c>
      <c r="E28" s="2">
        <v>5</v>
      </c>
    </row>
    <row r="29" spans="1:5" ht="15.75" customHeight="1" x14ac:dyDescent="0.25">
      <c r="A29" s="1" t="s">
        <v>404</v>
      </c>
      <c r="B29" s="1" t="s">
        <v>382</v>
      </c>
      <c r="C29" s="1" t="s">
        <v>11</v>
      </c>
      <c r="D29" s="1" t="s">
        <v>8</v>
      </c>
      <c r="E29" s="2"/>
    </row>
    <row r="30" spans="1:5" ht="15.75" customHeight="1" x14ac:dyDescent="0.25">
      <c r="A30" s="1" t="s">
        <v>405</v>
      </c>
      <c r="B30" s="1" t="s">
        <v>382</v>
      </c>
      <c r="C30" s="1" t="s">
        <v>7</v>
      </c>
      <c r="D30" s="1" t="s">
        <v>97</v>
      </c>
      <c r="E30" s="2">
        <v>5</v>
      </c>
    </row>
    <row r="31" spans="1:5" ht="15.75" customHeight="1" x14ac:dyDescent="0.25">
      <c r="A31" s="1" t="s">
        <v>406</v>
      </c>
      <c r="B31" s="1" t="s">
        <v>382</v>
      </c>
      <c r="C31" s="1" t="s">
        <v>11</v>
      </c>
      <c r="D31" s="1" t="s">
        <v>97</v>
      </c>
      <c r="E31" s="2"/>
    </row>
    <row r="32" spans="1:5" ht="15.75" customHeight="1" x14ac:dyDescent="0.25">
      <c r="A32" s="1" t="s">
        <v>407</v>
      </c>
      <c r="B32" s="1" t="s">
        <v>382</v>
      </c>
      <c r="C32" s="1" t="s">
        <v>7</v>
      </c>
      <c r="D32" s="1" t="s">
        <v>97</v>
      </c>
      <c r="E32" s="2">
        <v>12</v>
      </c>
    </row>
    <row r="33" spans="1:5" ht="15.75" customHeight="1" x14ac:dyDescent="0.25">
      <c r="A33" s="1" t="s">
        <v>408</v>
      </c>
      <c r="B33" s="1" t="s">
        <v>382</v>
      </c>
      <c r="C33" s="1" t="s">
        <v>11</v>
      </c>
      <c r="D33" s="1" t="s">
        <v>97</v>
      </c>
      <c r="E33" s="2"/>
    </row>
    <row r="34" spans="1:5" ht="15.75" customHeight="1" x14ac:dyDescent="0.25">
      <c r="A34" s="1" t="s">
        <v>409</v>
      </c>
      <c r="B34" s="1" t="s">
        <v>382</v>
      </c>
      <c r="C34" s="1" t="s">
        <v>7</v>
      </c>
      <c r="D34" s="1" t="s">
        <v>55</v>
      </c>
      <c r="E34" s="2">
        <v>5</v>
      </c>
    </row>
    <row r="35" spans="1:5" ht="15.75" customHeight="1" x14ac:dyDescent="0.25">
      <c r="A35" s="1" t="s">
        <v>410</v>
      </c>
      <c r="B35" s="1" t="s">
        <v>382</v>
      </c>
      <c r="C35" s="1" t="s">
        <v>11</v>
      </c>
      <c r="D35" s="1" t="s">
        <v>55</v>
      </c>
      <c r="E35" s="2"/>
    </row>
    <row r="36" spans="1:5" ht="15.75" customHeight="1" x14ac:dyDescent="0.25">
      <c r="A36" s="1" t="s">
        <v>411</v>
      </c>
      <c r="B36" s="1" t="s">
        <v>382</v>
      </c>
      <c r="C36" s="1" t="s">
        <v>7</v>
      </c>
      <c r="D36" s="1" t="s">
        <v>8</v>
      </c>
      <c r="E36" s="2">
        <v>5</v>
      </c>
    </row>
    <row r="37" spans="1:5" ht="15.75" customHeight="1" x14ac:dyDescent="0.25">
      <c r="A37" s="1" t="s">
        <v>128</v>
      </c>
      <c r="B37" s="1" t="s">
        <v>382</v>
      </c>
      <c r="C37" s="1" t="s">
        <v>11</v>
      </c>
      <c r="D37" s="1" t="s">
        <v>8</v>
      </c>
      <c r="E37" s="2"/>
    </row>
    <row r="38" spans="1:5" ht="15.75" customHeight="1" x14ac:dyDescent="0.25">
      <c r="A38" s="1" t="s">
        <v>412</v>
      </c>
      <c r="B38" s="1" t="s">
        <v>382</v>
      </c>
      <c r="C38" s="1" t="s">
        <v>7</v>
      </c>
      <c r="D38" s="1" t="s">
        <v>97</v>
      </c>
      <c r="E38" s="2">
        <v>10</v>
      </c>
    </row>
    <row r="39" spans="1:5" ht="15.75" customHeight="1" x14ac:dyDescent="0.25">
      <c r="A39" s="1" t="s">
        <v>250</v>
      </c>
      <c r="B39" s="1" t="s">
        <v>382</v>
      </c>
      <c r="C39" s="1" t="s">
        <v>11</v>
      </c>
      <c r="D39" s="1" t="s">
        <v>97</v>
      </c>
      <c r="E39" s="2"/>
    </row>
    <row r="40" spans="1:5" ht="15.75" customHeight="1" x14ac:dyDescent="0.25">
      <c r="A40" s="1" t="s">
        <v>413</v>
      </c>
      <c r="B40" s="1" t="s">
        <v>382</v>
      </c>
      <c r="C40" s="1" t="s">
        <v>7</v>
      </c>
      <c r="D40" s="1" t="s">
        <v>97</v>
      </c>
      <c r="E40" s="2">
        <v>5</v>
      </c>
    </row>
    <row r="41" spans="1:5" ht="15.75" customHeight="1" x14ac:dyDescent="0.25">
      <c r="A41" s="1" t="s">
        <v>414</v>
      </c>
      <c r="B41" s="1" t="s">
        <v>382</v>
      </c>
      <c r="C41" s="1" t="s">
        <v>11</v>
      </c>
      <c r="D41" s="1" t="s">
        <v>97</v>
      </c>
      <c r="E41" s="2"/>
    </row>
    <row r="42" spans="1:5" ht="15.75" customHeight="1" x14ac:dyDescent="0.25">
      <c r="A42" s="1" t="s">
        <v>415</v>
      </c>
      <c r="B42" s="1" t="s">
        <v>382</v>
      </c>
      <c r="C42" s="1" t="s">
        <v>7</v>
      </c>
      <c r="D42" s="1" t="s">
        <v>97</v>
      </c>
      <c r="E42" s="2">
        <v>5</v>
      </c>
    </row>
    <row r="43" spans="1:5" ht="15.75" customHeight="1" x14ac:dyDescent="0.25">
      <c r="A43" s="1" t="s">
        <v>416</v>
      </c>
      <c r="B43" s="1" t="s">
        <v>382</v>
      </c>
      <c r="C43" s="1" t="s">
        <v>11</v>
      </c>
      <c r="D43" s="1" t="s">
        <v>97</v>
      </c>
      <c r="E43" s="2"/>
    </row>
    <row r="44" spans="1:5" ht="15.75" customHeight="1" x14ac:dyDescent="0.25">
      <c r="A44" s="1" t="s">
        <v>54</v>
      </c>
      <c r="B44" s="1" t="s">
        <v>382</v>
      </c>
      <c r="C44" s="1" t="s">
        <v>7</v>
      </c>
      <c r="D44" s="1" t="s">
        <v>97</v>
      </c>
      <c r="E44" s="2">
        <v>5</v>
      </c>
    </row>
    <row r="45" spans="1:5" ht="15.75" customHeight="1" x14ac:dyDescent="0.25">
      <c r="A45" s="1" t="s">
        <v>417</v>
      </c>
      <c r="B45" s="1" t="s">
        <v>382</v>
      </c>
      <c r="C45" s="1" t="s">
        <v>11</v>
      </c>
      <c r="D45" s="1" t="s">
        <v>97</v>
      </c>
      <c r="E45" s="2"/>
    </row>
    <row r="46" spans="1:5" ht="15.75" customHeight="1" x14ac:dyDescent="0.25">
      <c r="A46" s="1" t="s">
        <v>418</v>
      </c>
      <c r="B46" s="1" t="s">
        <v>382</v>
      </c>
      <c r="C46" s="1" t="s">
        <v>7</v>
      </c>
      <c r="D46" s="1" t="s">
        <v>8</v>
      </c>
      <c r="E46" s="2">
        <v>5</v>
      </c>
    </row>
    <row r="47" spans="1:5" ht="15.75" customHeight="1" x14ac:dyDescent="0.25">
      <c r="A47" s="1" t="s">
        <v>336</v>
      </c>
      <c r="B47" s="1" t="s">
        <v>382</v>
      </c>
      <c r="C47" s="1" t="s">
        <v>11</v>
      </c>
      <c r="D47" s="1" t="s">
        <v>8</v>
      </c>
      <c r="E47" s="2"/>
    </row>
    <row r="48" spans="1:5" ht="15.75" customHeight="1" x14ac:dyDescent="0.25">
      <c r="D48" s="1" t="s">
        <v>61</v>
      </c>
      <c r="E48" s="3">
        <f>SUM(E2:E47)</f>
        <v>137</v>
      </c>
    </row>
    <row r="49" spans="4:5" ht="15.75" customHeight="1" x14ac:dyDescent="0.25">
      <c r="D49" s="1" t="s">
        <v>62</v>
      </c>
      <c r="E49" s="2">
        <v>15000</v>
      </c>
    </row>
    <row r="50" spans="4:5" ht="15.75" customHeight="1" x14ac:dyDescent="0.25">
      <c r="D50" s="1" t="s">
        <v>63</v>
      </c>
      <c r="E50" s="1">
        <f>E48*E49</f>
        <v>2055000</v>
      </c>
    </row>
    <row r="51" spans="4:5" ht="15.75" customHeight="1" x14ac:dyDescent="0.25">
      <c r="D51" s="1" t="s">
        <v>64</v>
      </c>
      <c r="E51" s="2">
        <v>0</v>
      </c>
    </row>
    <row r="52" spans="4:5" ht="15.75" customHeight="1" x14ac:dyDescent="0.25">
      <c r="D52" s="1" t="s">
        <v>65</v>
      </c>
      <c r="E52" s="2">
        <v>0</v>
      </c>
    </row>
    <row r="53" spans="4:5" ht="15.75" customHeight="1" x14ac:dyDescent="0.25">
      <c r="D53" s="1" t="s">
        <v>66</v>
      </c>
      <c r="E53" s="2">
        <v>0</v>
      </c>
    </row>
    <row r="54" spans="4:5" ht="15.75" customHeight="1" x14ac:dyDescent="0.25">
      <c r="D54" s="1" t="s">
        <v>67</v>
      </c>
      <c r="E54" s="2">
        <v>0</v>
      </c>
    </row>
    <row r="55" spans="4:5" ht="15.75" customHeight="1" x14ac:dyDescent="0.25">
      <c r="D55" s="1" t="s">
        <v>68</v>
      </c>
      <c r="E55" s="2">
        <v>0</v>
      </c>
    </row>
    <row r="56" spans="4:5" ht="15.75" customHeight="1" x14ac:dyDescent="0.25">
      <c r="D56" s="1" t="s">
        <v>69</v>
      </c>
      <c r="E56" s="3">
        <f>E50 - SUM(E51:E55)</f>
        <v>2055000</v>
      </c>
    </row>
    <row r="57" spans="4:5" ht="15.75" customHeight="1" x14ac:dyDescent="0.25"/>
    <row r="58" spans="4:5" ht="15.75" customHeight="1" x14ac:dyDescent="0.25"/>
    <row r="59" spans="4:5" ht="15.75" customHeight="1" x14ac:dyDescent="0.25"/>
    <row r="60" spans="4:5" ht="15.75" customHeight="1" x14ac:dyDescent="0.25"/>
    <row r="61" spans="4:5" ht="15.75" customHeight="1" x14ac:dyDescent="0.25"/>
    <row r="62" spans="4:5" ht="15.75" customHeight="1" x14ac:dyDescent="0.25"/>
    <row r="63" spans="4:5" ht="15.75" customHeight="1" x14ac:dyDescent="0.25"/>
    <row r="64" spans="4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419</v>
      </c>
      <c r="B2" s="1" t="s">
        <v>420</v>
      </c>
      <c r="C2" s="1" t="s">
        <v>7</v>
      </c>
      <c r="D2" s="1" t="s">
        <v>8</v>
      </c>
      <c r="E2" s="2">
        <v>10</v>
      </c>
      <c r="F2" s="1" t="s">
        <v>300</v>
      </c>
    </row>
    <row r="3" spans="1:6" ht="15.75" x14ac:dyDescent="0.25">
      <c r="A3" s="1" t="s">
        <v>383</v>
      </c>
      <c r="B3" s="1" t="s">
        <v>420</v>
      </c>
      <c r="C3" s="1" t="s">
        <v>11</v>
      </c>
      <c r="D3" s="1" t="s">
        <v>8</v>
      </c>
      <c r="E3" s="2"/>
    </row>
    <row r="4" spans="1:6" ht="15.75" x14ac:dyDescent="0.25">
      <c r="A4" s="1" t="s">
        <v>421</v>
      </c>
      <c r="B4" s="1" t="s">
        <v>420</v>
      </c>
      <c r="C4" s="1" t="s">
        <v>7</v>
      </c>
      <c r="D4" s="1" t="s">
        <v>8</v>
      </c>
      <c r="E4" s="2">
        <v>15</v>
      </c>
      <c r="F4" s="1" t="s">
        <v>95</v>
      </c>
    </row>
    <row r="5" spans="1:6" ht="15.75" x14ac:dyDescent="0.25">
      <c r="A5" s="1" t="s">
        <v>422</v>
      </c>
      <c r="B5" s="1" t="s">
        <v>420</v>
      </c>
      <c r="C5" s="1" t="s">
        <v>11</v>
      </c>
      <c r="D5" s="1" t="s">
        <v>8</v>
      </c>
      <c r="E5" s="2"/>
    </row>
    <row r="6" spans="1:6" ht="15.75" x14ac:dyDescent="0.25">
      <c r="A6" s="1" t="s">
        <v>386</v>
      </c>
      <c r="B6" s="1" t="s">
        <v>420</v>
      </c>
      <c r="C6" s="1" t="s">
        <v>7</v>
      </c>
      <c r="D6" s="1" t="s">
        <v>8</v>
      </c>
      <c r="E6" s="2">
        <v>5</v>
      </c>
    </row>
    <row r="7" spans="1:6" ht="15.75" x14ac:dyDescent="0.25">
      <c r="A7" s="1" t="s">
        <v>423</v>
      </c>
      <c r="B7" s="1" t="s">
        <v>420</v>
      </c>
      <c r="C7" s="1" t="s">
        <v>11</v>
      </c>
      <c r="D7" s="1" t="s">
        <v>8</v>
      </c>
      <c r="E7" s="2"/>
    </row>
    <row r="8" spans="1:6" ht="15.75" x14ac:dyDescent="0.25">
      <c r="A8" s="1" t="s">
        <v>424</v>
      </c>
      <c r="B8" s="1" t="s">
        <v>420</v>
      </c>
      <c r="C8" s="1" t="s">
        <v>7</v>
      </c>
      <c r="D8" s="1" t="s">
        <v>55</v>
      </c>
      <c r="E8" s="2">
        <v>5</v>
      </c>
    </row>
    <row r="9" spans="1:6" ht="15.75" x14ac:dyDescent="0.25">
      <c r="A9" s="1" t="s">
        <v>19</v>
      </c>
      <c r="B9" s="1" t="s">
        <v>420</v>
      </c>
      <c r="C9" s="1" t="s">
        <v>11</v>
      </c>
      <c r="D9" s="1" t="s">
        <v>55</v>
      </c>
      <c r="E9" s="2"/>
    </row>
    <row r="10" spans="1:6" ht="15.75" x14ac:dyDescent="0.25">
      <c r="A10" s="1" t="s">
        <v>425</v>
      </c>
      <c r="B10" s="1" t="s">
        <v>420</v>
      </c>
      <c r="C10" s="1" t="s">
        <v>7</v>
      </c>
      <c r="D10" s="1" t="s">
        <v>8</v>
      </c>
      <c r="E10" s="2">
        <v>5</v>
      </c>
    </row>
    <row r="11" spans="1:6" ht="15.75" x14ac:dyDescent="0.25">
      <c r="A11" s="1" t="s">
        <v>426</v>
      </c>
      <c r="B11" s="1" t="s">
        <v>420</v>
      </c>
      <c r="C11" s="1" t="s">
        <v>11</v>
      </c>
      <c r="D11" s="1" t="s">
        <v>8</v>
      </c>
      <c r="E11" s="2"/>
    </row>
    <row r="12" spans="1:6" ht="15.75" x14ac:dyDescent="0.25">
      <c r="A12" s="1" t="s">
        <v>427</v>
      </c>
      <c r="B12" s="1" t="s">
        <v>420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428</v>
      </c>
      <c r="B13" s="1" t="s">
        <v>420</v>
      </c>
      <c r="C13" s="1" t="s">
        <v>11</v>
      </c>
      <c r="D13" s="1" t="s">
        <v>13</v>
      </c>
      <c r="E13" s="2"/>
    </row>
    <row r="14" spans="1:6" ht="15.75" x14ac:dyDescent="0.25">
      <c r="A14" s="1" t="s">
        <v>429</v>
      </c>
      <c r="B14" s="1" t="s">
        <v>420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430</v>
      </c>
      <c r="B15" s="1" t="s">
        <v>420</v>
      </c>
      <c r="C15" s="1" t="s">
        <v>11</v>
      </c>
      <c r="D15" s="1" t="s">
        <v>55</v>
      </c>
      <c r="E15" s="2"/>
    </row>
    <row r="16" spans="1:6" ht="15.75" x14ac:dyDescent="0.25">
      <c r="A16" s="1" t="s">
        <v>431</v>
      </c>
      <c r="B16" s="1" t="s">
        <v>420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432</v>
      </c>
      <c r="B17" s="1" t="s">
        <v>420</v>
      </c>
      <c r="C17" s="1" t="s">
        <v>11</v>
      </c>
      <c r="D17" s="1" t="s">
        <v>55</v>
      </c>
      <c r="E17" s="2"/>
    </row>
    <row r="18" spans="1:5" ht="15.75" x14ac:dyDescent="0.25">
      <c r="A18" s="1" t="s">
        <v>274</v>
      </c>
      <c r="B18" s="1" t="s">
        <v>420</v>
      </c>
      <c r="C18" s="1" t="s">
        <v>7</v>
      </c>
      <c r="D18" s="1" t="s">
        <v>13</v>
      </c>
      <c r="E18" s="2">
        <v>10</v>
      </c>
    </row>
    <row r="19" spans="1:5" ht="15.75" x14ac:dyDescent="0.25">
      <c r="A19" s="1" t="s">
        <v>433</v>
      </c>
      <c r="B19" s="1" t="s">
        <v>420</v>
      </c>
      <c r="C19" s="1" t="s">
        <v>11</v>
      </c>
      <c r="D19" s="1" t="s">
        <v>13</v>
      </c>
      <c r="E19" s="2"/>
    </row>
    <row r="20" spans="1:5" ht="15.75" x14ac:dyDescent="0.25">
      <c r="A20" s="1" t="s">
        <v>434</v>
      </c>
      <c r="B20" s="1" t="s">
        <v>420</v>
      </c>
      <c r="C20" s="1" t="s">
        <v>7</v>
      </c>
      <c r="D20" s="1" t="s">
        <v>8</v>
      </c>
      <c r="E20" s="2">
        <v>5</v>
      </c>
    </row>
    <row r="21" spans="1:5" ht="15.75" customHeight="1" x14ac:dyDescent="0.25">
      <c r="A21" s="1" t="s">
        <v>258</v>
      </c>
      <c r="B21" s="1" t="s">
        <v>420</v>
      </c>
      <c r="C21" s="1" t="s">
        <v>11</v>
      </c>
      <c r="D21" s="1" t="s">
        <v>8</v>
      </c>
      <c r="E21" s="2"/>
    </row>
    <row r="22" spans="1:5" ht="15.75" customHeight="1" x14ac:dyDescent="0.25">
      <c r="A22" s="1" t="s">
        <v>81</v>
      </c>
      <c r="B22" s="1" t="s">
        <v>420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113</v>
      </c>
      <c r="B23" s="1" t="s">
        <v>420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435</v>
      </c>
      <c r="B24" s="1" t="s">
        <v>420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436</v>
      </c>
      <c r="B25" s="1" t="s">
        <v>420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183</v>
      </c>
      <c r="B26" s="1" t="s">
        <v>420</v>
      </c>
      <c r="C26" s="1" t="s">
        <v>7</v>
      </c>
      <c r="D26" s="1" t="s">
        <v>55</v>
      </c>
      <c r="E26" s="2">
        <v>5</v>
      </c>
    </row>
    <row r="27" spans="1:5" ht="15.75" customHeight="1" x14ac:dyDescent="0.25">
      <c r="A27" s="1" t="s">
        <v>437</v>
      </c>
      <c r="B27" s="1" t="s">
        <v>420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438</v>
      </c>
      <c r="B28" s="1" t="s">
        <v>420</v>
      </c>
      <c r="C28" s="1" t="s">
        <v>7</v>
      </c>
      <c r="D28" s="1" t="s">
        <v>55</v>
      </c>
      <c r="E28" s="2">
        <v>5</v>
      </c>
    </row>
    <row r="29" spans="1:5" ht="15.75" customHeight="1" x14ac:dyDescent="0.25">
      <c r="A29" s="1" t="s">
        <v>439</v>
      </c>
      <c r="B29" s="1" t="s">
        <v>420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440</v>
      </c>
      <c r="B30" s="1" t="s">
        <v>420</v>
      </c>
      <c r="C30" s="1" t="s">
        <v>7</v>
      </c>
      <c r="D30" s="1" t="s">
        <v>8</v>
      </c>
      <c r="E30" s="2">
        <v>5</v>
      </c>
    </row>
    <row r="31" spans="1:5" ht="15.75" customHeight="1" x14ac:dyDescent="0.25">
      <c r="A31" s="1" t="s">
        <v>441</v>
      </c>
      <c r="B31" s="1" t="s">
        <v>420</v>
      </c>
      <c r="C31" s="1" t="s">
        <v>11</v>
      </c>
      <c r="D31" s="1" t="s">
        <v>8</v>
      </c>
      <c r="E31" s="2"/>
    </row>
    <row r="32" spans="1:5" ht="15.75" customHeight="1" x14ac:dyDescent="0.25">
      <c r="A32" s="1" t="s">
        <v>442</v>
      </c>
      <c r="B32" s="1" t="s">
        <v>420</v>
      </c>
      <c r="C32" s="1" t="s">
        <v>7</v>
      </c>
      <c r="D32" s="1" t="s">
        <v>55</v>
      </c>
      <c r="E32" s="2">
        <v>5</v>
      </c>
    </row>
    <row r="33" spans="1:5" ht="15.75" customHeight="1" x14ac:dyDescent="0.25">
      <c r="A33" s="1" t="s">
        <v>260</v>
      </c>
      <c r="B33" s="1" t="s">
        <v>420</v>
      </c>
      <c r="C33" s="1" t="s">
        <v>11</v>
      </c>
      <c r="D33" s="1" t="s">
        <v>55</v>
      </c>
      <c r="E33" s="2"/>
    </row>
    <row r="34" spans="1:5" ht="15.75" customHeight="1" x14ac:dyDescent="0.25">
      <c r="A34" s="1" t="s">
        <v>443</v>
      </c>
      <c r="B34" s="1" t="s">
        <v>420</v>
      </c>
      <c r="C34" s="1" t="s">
        <v>7</v>
      </c>
      <c r="D34" s="1" t="s">
        <v>55</v>
      </c>
      <c r="E34" s="2">
        <v>10</v>
      </c>
    </row>
    <row r="35" spans="1:5" ht="15.75" customHeight="1" x14ac:dyDescent="0.25">
      <c r="A35" s="1" t="s">
        <v>444</v>
      </c>
      <c r="B35" s="1" t="s">
        <v>420</v>
      </c>
      <c r="C35" s="1" t="s">
        <v>11</v>
      </c>
      <c r="D35" s="1" t="s">
        <v>55</v>
      </c>
      <c r="E35" s="2"/>
    </row>
    <row r="36" spans="1:5" ht="15.75" customHeight="1" x14ac:dyDescent="0.25">
      <c r="A36" s="1" t="s">
        <v>218</v>
      </c>
      <c r="B36" s="1" t="s">
        <v>420</v>
      </c>
      <c r="C36" s="1" t="s">
        <v>7</v>
      </c>
      <c r="D36" s="1" t="s">
        <v>55</v>
      </c>
      <c r="E36" s="2">
        <v>5</v>
      </c>
    </row>
    <row r="37" spans="1:5" ht="15.75" customHeight="1" x14ac:dyDescent="0.25">
      <c r="A37" s="1" t="s">
        <v>445</v>
      </c>
      <c r="B37" s="1" t="s">
        <v>420</v>
      </c>
      <c r="C37" s="1" t="s">
        <v>11</v>
      </c>
      <c r="D37" s="1" t="s">
        <v>55</v>
      </c>
      <c r="E37" s="2"/>
    </row>
    <row r="38" spans="1:5" ht="15.75" customHeight="1" x14ac:dyDescent="0.25">
      <c r="A38" s="1" t="s">
        <v>446</v>
      </c>
      <c r="B38" s="1" t="s">
        <v>420</v>
      </c>
      <c r="C38" s="1" t="s">
        <v>7</v>
      </c>
      <c r="D38" s="1" t="s">
        <v>8</v>
      </c>
      <c r="E38" s="2">
        <v>5</v>
      </c>
    </row>
    <row r="39" spans="1:5" ht="15.75" customHeight="1" x14ac:dyDescent="0.25">
      <c r="A39" s="1" t="s">
        <v>319</v>
      </c>
      <c r="B39" s="1" t="s">
        <v>420</v>
      </c>
      <c r="C39" s="1" t="s">
        <v>11</v>
      </c>
      <c r="D39" s="1" t="s">
        <v>8</v>
      </c>
      <c r="E39" s="2"/>
    </row>
    <row r="40" spans="1:5" ht="15.75" customHeight="1" x14ac:dyDescent="0.25">
      <c r="A40" s="1" t="s">
        <v>447</v>
      </c>
      <c r="B40" s="1" t="s">
        <v>420</v>
      </c>
      <c r="C40" s="1" t="s">
        <v>7</v>
      </c>
      <c r="D40" s="1" t="s">
        <v>55</v>
      </c>
      <c r="E40" s="2">
        <v>5</v>
      </c>
    </row>
    <row r="41" spans="1:5" ht="15.75" customHeight="1" x14ac:dyDescent="0.25">
      <c r="A41" s="1" t="s">
        <v>137</v>
      </c>
      <c r="B41" s="1" t="s">
        <v>420</v>
      </c>
      <c r="C41" s="1" t="s">
        <v>11</v>
      </c>
      <c r="D41" s="1" t="s">
        <v>55</v>
      </c>
      <c r="E41" s="2"/>
    </row>
    <row r="42" spans="1:5" ht="15.75" customHeight="1" x14ac:dyDescent="0.25">
      <c r="A42" s="1" t="s">
        <v>448</v>
      </c>
      <c r="B42" s="1" t="s">
        <v>420</v>
      </c>
      <c r="C42" s="1" t="s">
        <v>7</v>
      </c>
      <c r="D42" s="1" t="s">
        <v>55</v>
      </c>
      <c r="E42" s="2">
        <v>10</v>
      </c>
    </row>
    <row r="43" spans="1:5" ht="15.75" customHeight="1" x14ac:dyDescent="0.25">
      <c r="A43" s="1" t="s">
        <v>53</v>
      </c>
      <c r="B43" s="1" t="s">
        <v>420</v>
      </c>
      <c r="C43" s="1" t="s">
        <v>11</v>
      </c>
      <c r="D43" s="1" t="s">
        <v>55</v>
      </c>
      <c r="E43" s="2"/>
    </row>
    <row r="44" spans="1:5" ht="15.75" customHeight="1" x14ac:dyDescent="0.25">
      <c r="A44" s="1" t="s">
        <v>449</v>
      </c>
      <c r="B44" s="1" t="s">
        <v>420</v>
      </c>
      <c r="C44" s="1" t="s">
        <v>7</v>
      </c>
      <c r="D44" s="1" t="s">
        <v>55</v>
      </c>
      <c r="E44" s="2">
        <v>5</v>
      </c>
    </row>
    <row r="45" spans="1:5" ht="15.75" customHeight="1" x14ac:dyDescent="0.25">
      <c r="A45" s="1" t="s">
        <v>450</v>
      </c>
      <c r="B45" s="1" t="s">
        <v>420</v>
      </c>
      <c r="C45" s="1" t="s">
        <v>11</v>
      </c>
      <c r="D45" s="1" t="s">
        <v>55</v>
      </c>
      <c r="E45" s="2"/>
    </row>
    <row r="46" spans="1:5" ht="15.75" customHeight="1" x14ac:dyDescent="0.25">
      <c r="A46" s="1" t="s">
        <v>451</v>
      </c>
      <c r="B46" s="1" t="s">
        <v>420</v>
      </c>
      <c r="C46" s="1" t="s">
        <v>7</v>
      </c>
      <c r="D46" s="1" t="s">
        <v>13</v>
      </c>
      <c r="E46" s="2">
        <v>5</v>
      </c>
    </row>
    <row r="47" spans="1:5" ht="15.75" customHeight="1" x14ac:dyDescent="0.25">
      <c r="A47" s="1" t="s">
        <v>452</v>
      </c>
      <c r="B47" s="1" t="s">
        <v>420</v>
      </c>
      <c r="C47" s="1" t="s">
        <v>11</v>
      </c>
      <c r="D47" s="1" t="s">
        <v>13</v>
      </c>
      <c r="E47" s="2"/>
    </row>
    <row r="48" spans="1:5" ht="15.75" customHeight="1" x14ac:dyDescent="0.25">
      <c r="A48" s="1" t="s">
        <v>453</v>
      </c>
      <c r="B48" s="1" t="s">
        <v>420</v>
      </c>
      <c r="C48" s="1" t="s">
        <v>7</v>
      </c>
      <c r="D48" s="1" t="s">
        <v>55</v>
      </c>
      <c r="E48" s="2">
        <v>5</v>
      </c>
    </row>
    <row r="49" spans="1:5" ht="15.75" customHeight="1" x14ac:dyDescent="0.25">
      <c r="A49" s="1" t="s">
        <v>454</v>
      </c>
      <c r="B49" s="1" t="s">
        <v>420</v>
      </c>
      <c r="C49" s="1" t="s">
        <v>11</v>
      </c>
      <c r="D49" s="1" t="s">
        <v>55</v>
      </c>
      <c r="E49" s="2"/>
    </row>
    <row r="50" spans="1:5" ht="15.75" customHeight="1" x14ac:dyDescent="0.25">
      <c r="A50" s="1" t="s">
        <v>455</v>
      </c>
      <c r="B50" s="1" t="s">
        <v>420</v>
      </c>
      <c r="C50" s="1" t="s">
        <v>7</v>
      </c>
      <c r="D50" s="1" t="s">
        <v>8</v>
      </c>
      <c r="E50" s="2">
        <v>5</v>
      </c>
    </row>
    <row r="51" spans="1:5" ht="15.75" customHeight="1" x14ac:dyDescent="0.25">
      <c r="A51" s="1" t="s">
        <v>456</v>
      </c>
      <c r="B51" s="1" t="s">
        <v>420</v>
      </c>
      <c r="C51" s="1" t="s">
        <v>11</v>
      </c>
      <c r="D51" s="1" t="s">
        <v>8</v>
      </c>
      <c r="E51" s="2"/>
    </row>
    <row r="52" spans="1:5" ht="15.75" customHeight="1" x14ac:dyDescent="0.25">
      <c r="D52" s="1" t="s">
        <v>61</v>
      </c>
      <c r="E52" s="3">
        <f>SUM(E2:E51)</f>
        <v>155</v>
      </c>
    </row>
    <row r="53" spans="1:5" ht="15.75" customHeight="1" x14ac:dyDescent="0.25">
      <c r="D53" s="1" t="s">
        <v>62</v>
      </c>
      <c r="E53" s="2">
        <v>15000</v>
      </c>
    </row>
    <row r="54" spans="1:5" ht="15.75" customHeight="1" x14ac:dyDescent="0.25">
      <c r="D54" s="1" t="s">
        <v>63</v>
      </c>
      <c r="E54" s="1">
        <f>E52*E53</f>
        <v>2325000</v>
      </c>
    </row>
    <row r="55" spans="1:5" ht="15.75" customHeight="1" x14ac:dyDescent="0.25">
      <c r="D55" s="1" t="s">
        <v>64</v>
      </c>
      <c r="E55" s="2">
        <v>0</v>
      </c>
    </row>
    <row r="56" spans="1:5" ht="15.75" customHeight="1" x14ac:dyDescent="0.25">
      <c r="D56" s="1" t="s">
        <v>65</v>
      </c>
      <c r="E56" s="2">
        <v>0</v>
      </c>
    </row>
    <row r="57" spans="1:5" ht="15.75" customHeight="1" x14ac:dyDescent="0.25">
      <c r="D57" s="1" t="s">
        <v>66</v>
      </c>
      <c r="E57" s="2">
        <v>0</v>
      </c>
    </row>
    <row r="58" spans="1:5" ht="15.75" customHeight="1" x14ac:dyDescent="0.25">
      <c r="D58" s="1" t="s">
        <v>67</v>
      </c>
      <c r="E58" s="2">
        <v>0</v>
      </c>
    </row>
    <row r="59" spans="1:5" ht="15.75" customHeight="1" x14ac:dyDescent="0.25">
      <c r="D59" s="1" t="s">
        <v>68</v>
      </c>
      <c r="E59" s="2">
        <v>0</v>
      </c>
    </row>
    <row r="60" spans="1:5" ht="15.75" customHeight="1" x14ac:dyDescent="0.25">
      <c r="D60" s="1" t="s">
        <v>69</v>
      </c>
      <c r="E60" s="3">
        <f>E54 - SUM(E55:E59)</f>
        <v>2325000</v>
      </c>
    </row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457</v>
      </c>
      <c r="B2" s="1" t="s">
        <v>458</v>
      </c>
      <c r="C2" s="1" t="s">
        <v>7</v>
      </c>
      <c r="D2" s="1" t="s">
        <v>13</v>
      </c>
      <c r="E2" s="2">
        <v>10</v>
      </c>
      <c r="F2" s="1" t="s">
        <v>300</v>
      </c>
    </row>
    <row r="3" spans="1:6" ht="15.75" x14ac:dyDescent="0.25">
      <c r="A3" s="1" t="s">
        <v>383</v>
      </c>
      <c r="B3" s="1" t="s">
        <v>458</v>
      </c>
      <c r="C3" s="1" t="s">
        <v>11</v>
      </c>
      <c r="D3" s="1" t="s">
        <v>13</v>
      </c>
      <c r="E3" s="2"/>
    </row>
    <row r="4" spans="1:6" ht="15.75" x14ac:dyDescent="0.25">
      <c r="A4" s="1" t="s">
        <v>206</v>
      </c>
      <c r="B4" s="1" t="s">
        <v>458</v>
      </c>
      <c r="C4" s="1" t="s">
        <v>7</v>
      </c>
      <c r="D4" s="1" t="s">
        <v>8</v>
      </c>
      <c r="E4" s="2">
        <v>7.5</v>
      </c>
      <c r="F4" s="1" t="s">
        <v>95</v>
      </c>
    </row>
    <row r="5" spans="1:6" ht="15.75" x14ac:dyDescent="0.25">
      <c r="A5" s="1" t="s">
        <v>207</v>
      </c>
      <c r="E5" s="2"/>
    </row>
    <row r="6" spans="1:6" ht="15.75" x14ac:dyDescent="0.25">
      <c r="A6" s="1" t="s">
        <v>150</v>
      </c>
      <c r="B6" s="1" t="s">
        <v>458</v>
      </c>
      <c r="C6" s="1" t="s">
        <v>7</v>
      </c>
      <c r="D6" s="1" t="s">
        <v>13</v>
      </c>
      <c r="E6" s="2">
        <v>7.5</v>
      </c>
      <c r="F6" s="1" t="s">
        <v>95</v>
      </c>
    </row>
    <row r="7" spans="1:6" ht="15.75" x14ac:dyDescent="0.25">
      <c r="A7" s="1" t="s">
        <v>302</v>
      </c>
      <c r="B7" s="1" t="s">
        <v>458</v>
      </c>
      <c r="C7" s="1" t="s">
        <v>11</v>
      </c>
      <c r="D7" s="1" t="s">
        <v>13</v>
      </c>
      <c r="E7" s="2"/>
    </row>
    <row r="8" spans="1:6" ht="15.75" x14ac:dyDescent="0.25">
      <c r="A8" s="1" t="s">
        <v>459</v>
      </c>
      <c r="B8" s="1" t="s">
        <v>458</v>
      </c>
      <c r="C8" s="1" t="s">
        <v>7</v>
      </c>
      <c r="D8" s="1" t="s">
        <v>8</v>
      </c>
      <c r="E8" s="2">
        <v>15</v>
      </c>
      <c r="F8" s="1" t="s">
        <v>95</v>
      </c>
    </row>
    <row r="9" spans="1:6" ht="15.75" x14ac:dyDescent="0.25">
      <c r="A9" s="1" t="s">
        <v>460</v>
      </c>
      <c r="B9" s="1" t="s">
        <v>458</v>
      </c>
      <c r="C9" s="1" t="s">
        <v>11</v>
      </c>
      <c r="D9" s="1" t="s">
        <v>8</v>
      </c>
      <c r="E9" s="2"/>
    </row>
    <row r="10" spans="1:6" ht="15.75" x14ac:dyDescent="0.25">
      <c r="A10" s="1" t="s">
        <v>256</v>
      </c>
      <c r="B10" s="1" t="s">
        <v>458</v>
      </c>
      <c r="C10" s="1" t="s">
        <v>7</v>
      </c>
      <c r="D10" s="1" t="s">
        <v>13</v>
      </c>
      <c r="E10" s="2">
        <v>15</v>
      </c>
      <c r="F10" s="1" t="s">
        <v>95</v>
      </c>
    </row>
    <row r="11" spans="1:6" ht="15.75" x14ac:dyDescent="0.25">
      <c r="A11" s="1" t="s">
        <v>461</v>
      </c>
      <c r="B11" s="1" t="s">
        <v>458</v>
      </c>
      <c r="C11" s="1" t="s">
        <v>11</v>
      </c>
      <c r="D11" s="1" t="s">
        <v>13</v>
      </c>
      <c r="E11" s="2"/>
    </row>
    <row r="12" spans="1:6" ht="15.75" x14ac:dyDescent="0.25">
      <c r="A12" s="1" t="s">
        <v>462</v>
      </c>
      <c r="B12" s="1" t="s">
        <v>458</v>
      </c>
      <c r="C12" s="1" t="s">
        <v>7</v>
      </c>
      <c r="D12" s="1" t="s">
        <v>8</v>
      </c>
      <c r="E12" s="2">
        <v>5</v>
      </c>
    </row>
    <row r="13" spans="1:6" ht="15.75" x14ac:dyDescent="0.25">
      <c r="A13" s="1" t="s">
        <v>463</v>
      </c>
      <c r="B13" s="1" t="s">
        <v>458</v>
      </c>
      <c r="C13" s="1" t="s">
        <v>11</v>
      </c>
      <c r="D13" s="1" t="s">
        <v>8</v>
      </c>
      <c r="E13" s="2"/>
    </row>
    <row r="14" spans="1:6" ht="15.75" x14ac:dyDescent="0.25">
      <c r="A14" s="1" t="s">
        <v>464</v>
      </c>
      <c r="B14" s="1" t="s">
        <v>458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234</v>
      </c>
      <c r="B15" s="1" t="s">
        <v>458</v>
      </c>
      <c r="C15" s="1" t="s">
        <v>11</v>
      </c>
      <c r="D15" s="1" t="s">
        <v>13</v>
      </c>
      <c r="E15" s="2"/>
    </row>
    <row r="16" spans="1:6" ht="15.75" x14ac:dyDescent="0.25">
      <c r="A16" s="1" t="s">
        <v>138</v>
      </c>
      <c r="E16" s="2">
        <v>5</v>
      </c>
    </row>
    <row r="17" spans="1:5" ht="15.75" x14ac:dyDescent="0.25">
      <c r="A17" s="1" t="s">
        <v>176</v>
      </c>
      <c r="B17" s="1" t="s">
        <v>458</v>
      </c>
      <c r="C17" s="1" t="s">
        <v>11</v>
      </c>
      <c r="D17" s="1" t="s">
        <v>13</v>
      </c>
      <c r="E17" s="2"/>
    </row>
    <row r="18" spans="1:5" ht="15.75" x14ac:dyDescent="0.25">
      <c r="A18" s="1" t="s">
        <v>465</v>
      </c>
      <c r="B18" s="1" t="s">
        <v>458</v>
      </c>
      <c r="C18" s="1" t="s">
        <v>7</v>
      </c>
      <c r="D18" s="1" t="s">
        <v>13</v>
      </c>
      <c r="E18" s="2">
        <v>10</v>
      </c>
    </row>
    <row r="19" spans="1:5" ht="15.75" x14ac:dyDescent="0.25">
      <c r="A19" s="1" t="s">
        <v>466</v>
      </c>
      <c r="B19" s="1" t="s">
        <v>458</v>
      </c>
      <c r="C19" s="1" t="s">
        <v>11</v>
      </c>
      <c r="D19" s="1" t="s">
        <v>13</v>
      </c>
      <c r="E19" s="2"/>
    </row>
    <row r="20" spans="1:5" ht="15.75" x14ac:dyDescent="0.25">
      <c r="A20" s="1" t="s">
        <v>467</v>
      </c>
      <c r="B20" s="1" t="s">
        <v>458</v>
      </c>
      <c r="C20" s="1" t="s">
        <v>7</v>
      </c>
      <c r="D20" s="1" t="s">
        <v>13</v>
      </c>
      <c r="E20" s="2">
        <v>10</v>
      </c>
    </row>
    <row r="21" spans="1:5" ht="15.75" customHeight="1" x14ac:dyDescent="0.25">
      <c r="A21" s="1" t="s">
        <v>361</v>
      </c>
      <c r="B21" s="1" t="s">
        <v>458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468</v>
      </c>
      <c r="B22" s="1" t="s">
        <v>458</v>
      </c>
      <c r="C22" s="1" t="s">
        <v>7</v>
      </c>
      <c r="D22" s="1" t="s">
        <v>8</v>
      </c>
      <c r="E22" s="2">
        <v>10</v>
      </c>
    </row>
    <row r="23" spans="1:5" ht="15.75" customHeight="1" x14ac:dyDescent="0.25">
      <c r="A23" s="1" t="s">
        <v>469</v>
      </c>
      <c r="B23" s="1" t="s">
        <v>458</v>
      </c>
      <c r="C23" s="1" t="s">
        <v>11</v>
      </c>
      <c r="D23" s="1" t="s">
        <v>8</v>
      </c>
      <c r="E23" s="2"/>
    </row>
    <row r="24" spans="1:5" ht="15.75" customHeight="1" x14ac:dyDescent="0.25">
      <c r="A24" s="1" t="s">
        <v>257</v>
      </c>
      <c r="B24" s="1" t="s">
        <v>458</v>
      </c>
      <c r="C24" s="1" t="s">
        <v>7</v>
      </c>
      <c r="D24" s="1" t="s">
        <v>13</v>
      </c>
      <c r="E24" s="2">
        <v>10</v>
      </c>
    </row>
    <row r="25" spans="1:5" ht="15.75" customHeight="1" x14ac:dyDescent="0.25">
      <c r="A25" s="1" t="s">
        <v>470</v>
      </c>
      <c r="B25" s="1" t="s">
        <v>458</v>
      </c>
      <c r="C25" s="1" t="s">
        <v>11</v>
      </c>
      <c r="D25" s="1" t="s">
        <v>13</v>
      </c>
      <c r="E25" s="2"/>
    </row>
    <row r="26" spans="1:5" ht="15.75" customHeight="1" x14ac:dyDescent="0.25">
      <c r="A26" s="1" t="s">
        <v>212</v>
      </c>
      <c r="B26" s="1" t="s">
        <v>458</v>
      </c>
      <c r="C26" s="1" t="s">
        <v>7</v>
      </c>
      <c r="D26" s="1" t="s">
        <v>13</v>
      </c>
      <c r="E26" s="2">
        <v>10</v>
      </c>
    </row>
    <row r="27" spans="1:5" ht="15.75" customHeight="1" x14ac:dyDescent="0.25">
      <c r="A27" s="1" t="s">
        <v>277</v>
      </c>
      <c r="B27" s="1" t="s">
        <v>458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471</v>
      </c>
      <c r="B28" s="1" t="s">
        <v>458</v>
      </c>
      <c r="C28" s="1" t="s">
        <v>7</v>
      </c>
      <c r="D28" s="1" t="s">
        <v>13</v>
      </c>
      <c r="E28" s="2">
        <v>5</v>
      </c>
    </row>
    <row r="29" spans="1:5" ht="15.75" customHeight="1" x14ac:dyDescent="0.25">
      <c r="A29" s="1" t="s">
        <v>437</v>
      </c>
      <c r="B29" s="1" t="s">
        <v>458</v>
      </c>
      <c r="C29" s="1" t="s">
        <v>11</v>
      </c>
      <c r="D29" s="1" t="s">
        <v>13</v>
      </c>
      <c r="E29" s="2"/>
    </row>
    <row r="30" spans="1:5" ht="15.75" customHeight="1" x14ac:dyDescent="0.25">
      <c r="A30" s="1" t="s">
        <v>472</v>
      </c>
      <c r="B30" s="1" t="s">
        <v>458</v>
      </c>
      <c r="C30" s="1" t="s">
        <v>7</v>
      </c>
      <c r="D30" s="1" t="s">
        <v>13</v>
      </c>
      <c r="E30" s="2">
        <v>10</v>
      </c>
    </row>
    <row r="31" spans="1:5" ht="15.75" customHeight="1" x14ac:dyDescent="0.25">
      <c r="A31" s="1" t="s">
        <v>33</v>
      </c>
      <c r="B31" s="1" t="s">
        <v>458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473</v>
      </c>
      <c r="B32" s="1" t="s">
        <v>458</v>
      </c>
      <c r="C32" s="1" t="s">
        <v>7</v>
      </c>
      <c r="D32" s="1" t="s">
        <v>13</v>
      </c>
      <c r="E32" s="2">
        <v>10</v>
      </c>
    </row>
    <row r="33" spans="1:5" ht="15.75" customHeight="1" x14ac:dyDescent="0.25">
      <c r="A33" s="1" t="s">
        <v>474</v>
      </c>
      <c r="B33" s="1" t="s">
        <v>458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475</v>
      </c>
      <c r="B34" s="1" t="s">
        <v>458</v>
      </c>
      <c r="C34" s="1" t="s">
        <v>7</v>
      </c>
      <c r="D34" s="1" t="s">
        <v>13</v>
      </c>
      <c r="E34" s="2">
        <v>10</v>
      </c>
    </row>
    <row r="35" spans="1:5" ht="15.75" customHeight="1" x14ac:dyDescent="0.25">
      <c r="A35" s="1" t="s">
        <v>316</v>
      </c>
      <c r="B35" s="1" t="s">
        <v>458</v>
      </c>
      <c r="C35" s="1" t="s">
        <v>11</v>
      </c>
      <c r="D35" s="1" t="s">
        <v>13</v>
      </c>
      <c r="E35" s="2"/>
    </row>
    <row r="36" spans="1:5" ht="15.75" customHeight="1" x14ac:dyDescent="0.25">
      <c r="A36" s="1" t="s">
        <v>476</v>
      </c>
      <c r="B36" s="1" t="s">
        <v>458</v>
      </c>
      <c r="C36" s="1" t="s">
        <v>7</v>
      </c>
      <c r="D36" s="1" t="s">
        <v>13</v>
      </c>
      <c r="E36" s="2">
        <v>5</v>
      </c>
    </row>
    <row r="37" spans="1:5" ht="15.75" customHeight="1" x14ac:dyDescent="0.25">
      <c r="A37" s="1" t="s">
        <v>477</v>
      </c>
      <c r="B37" s="1" t="s">
        <v>458</v>
      </c>
      <c r="C37" s="1" t="s">
        <v>11</v>
      </c>
      <c r="D37" s="1" t="s">
        <v>13</v>
      </c>
      <c r="E37" s="2"/>
    </row>
    <row r="38" spans="1:5" ht="15.75" customHeight="1" x14ac:dyDescent="0.25">
      <c r="A38" s="1" t="s">
        <v>478</v>
      </c>
      <c r="B38" s="1" t="s">
        <v>458</v>
      </c>
      <c r="C38" s="1" t="s">
        <v>7</v>
      </c>
      <c r="D38" s="1" t="s">
        <v>13</v>
      </c>
      <c r="E38" s="2">
        <v>5</v>
      </c>
    </row>
    <row r="39" spans="1:5" ht="15.75" customHeight="1" x14ac:dyDescent="0.25">
      <c r="A39" s="1" t="s">
        <v>479</v>
      </c>
      <c r="B39" s="1" t="s">
        <v>458</v>
      </c>
      <c r="C39" s="1" t="s">
        <v>11</v>
      </c>
      <c r="D39" s="1" t="s">
        <v>13</v>
      </c>
      <c r="E39" s="2"/>
    </row>
    <row r="40" spans="1:5" ht="15.75" customHeight="1" x14ac:dyDescent="0.25">
      <c r="A40" s="1" t="s">
        <v>289</v>
      </c>
      <c r="B40" s="1" t="s">
        <v>458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480</v>
      </c>
      <c r="B41" s="1" t="s">
        <v>458</v>
      </c>
      <c r="C41" s="1" t="s">
        <v>11</v>
      </c>
      <c r="D41" s="1" t="s">
        <v>13</v>
      </c>
      <c r="E41" s="2"/>
    </row>
    <row r="42" spans="1:5" ht="15.75" customHeight="1" x14ac:dyDescent="0.25">
      <c r="A42" s="1" t="s">
        <v>138</v>
      </c>
      <c r="E42" s="2">
        <v>5</v>
      </c>
    </row>
    <row r="43" spans="1:5" ht="15.75" customHeight="1" x14ac:dyDescent="0.25">
      <c r="A43" s="1" t="s">
        <v>373</v>
      </c>
      <c r="B43" s="1" t="s">
        <v>458</v>
      </c>
      <c r="C43" s="1" t="s">
        <v>11</v>
      </c>
      <c r="D43" s="1" t="s">
        <v>13</v>
      </c>
      <c r="E43" s="2"/>
    </row>
    <row r="44" spans="1:5" ht="15.75" customHeight="1" x14ac:dyDescent="0.25">
      <c r="A44" s="1" t="s">
        <v>481</v>
      </c>
      <c r="B44" s="1" t="s">
        <v>458</v>
      </c>
      <c r="C44" s="1" t="s">
        <v>7</v>
      </c>
      <c r="D44" s="1" t="s">
        <v>13</v>
      </c>
      <c r="E44" s="2">
        <v>5</v>
      </c>
    </row>
    <row r="45" spans="1:5" ht="15.75" customHeight="1" x14ac:dyDescent="0.25">
      <c r="A45" s="1" t="s">
        <v>87</v>
      </c>
      <c r="B45" s="1" t="s">
        <v>458</v>
      </c>
      <c r="C45" s="1" t="s">
        <v>11</v>
      </c>
      <c r="D45" s="1" t="s">
        <v>13</v>
      </c>
      <c r="E45" s="2"/>
    </row>
    <row r="46" spans="1:5" ht="15.75" customHeight="1" x14ac:dyDescent="0.25">
      <c r="A46" s="1" t="s">
        <v>482</v>
      </c>
      <c r="B46" s="1" t="s">
        <v>458</v>
      </c>
      <c r="C46" s="1" t="s">
        <v>7</v>
      </c>
      <c r="D46" s="1" t="s">
        <v>13</v>
      </c>
      <c r="E46" s="2">
        <v>10</v>
      </c>
    </row>
    <row r="47" spans="1:5" ht="15.75" customHeight="1" x14ac:dyDescent="0.25">
      <c r="A47" s="1" t="s">
        <v>134</v>
      </c>
      <c r="B47" s="1" t="s">
        <v>458</v>
      </c>
      <c r="C47" s="1" t="s">
        <v>11</v>
      </c>
      <c r="D47" s="1" t="s">
        <v>13</v>
      </c>
      <c r="E47" s="2"/>
    </row>
    <row r="48" spans="1:5" ht="15.75" customHeight="1" x14ac:dyDescent="0.25">
      <c r="A48" s="1" t="s">
        <v>483</v>
      </c>
      <c r="B48" s="1" t="s">
        <v>458</v>
      </c>
      <c r="C48" s="1" t="s">
        <v>7</v>
      </c>
      <c r="D48" s="1" t="s">
        <v>13</v>
      </c>
      <c r="E48" s="2">
        <v>5</v>
      </c>
    </row>
    <row r="49" spans="1:5" ht="15.75" customHeight="1" x14ac:dyDescent="0.25">
      <c r="A49" s="1" t="s">
        <v>195</v>
      </c>
      <c r="B49" s="1" t="s">
        <v>458</v>
      </c>
      <c r="C49" s="1" t="s">
        <v>11</v>
      </c>
      <c r="D49" s="1" t="s">
        <v>13</v>
      </c>
      <c r="E49" s="2"/>
    </row>
    <row r="50" spans="1:5" ht="15.75" customHeight="1" x14ac:dyDescent="0.25">
      <c r="A50" s="1" t="s">
        <v>484</v>
      </c>
      <c r="B50" s="1" t="s">
        <v>458</v>
      </c>
      <c r="C50" s="1" t="s">
        <v>7</v>
      </c>
      <c r="D50" s="1" t="s">
        <v>8</v>
      </c>
      <c r="E50" s="2">
        <v>5</v>
      </c>
    </row>
    <row r="51" spans="1:5" ht="15.75" customHeight="1" x14ac:dyDescent="0.25">
      <c r="A51" s="1" t="s">
        <v>328</v>
      </c>
      <c r="B51" s="1" t="s">
        <v>458</v>
      </c>
      <c r="C51" s="1" t="s">
        <v>11</v>
      </c>
      <c r="D51" s="1" t="s">
        <v>8</v>
      </c>
      <c r="E51" s="2"/>
    </row>
    <row r="52" spans="1:5" ht="15.75" customHeight="1" x14ac:dyDescent="0.25">
      <c r="A52" s="1" t="s">
        <v>485</v>
      </c>
      <c r="B52" s="1" t="s">
        <v>458</v>
      </c>
      <c r="C52" s="1" t="s">
        <v>7</v>
      </c>
      <c r="D52" s="1" t="s">
        <v>13</v>
      </c>
      <c r="E52" s="2">
        <v>10</v>
      </c>
    </row>
    <row r="53" spans="1:5" ht="15.75" customHeight="1" x14ac:dyDescent="0.25">
      <c r="A53" s="1" t="s">
        <v>486</v>
      </c>
      <c r="B53" s="1" t="s">
        <v>458</v>
      </c>
      <c r="C53" s="1" t="s">
        <v>11</v>
      </c>
      <c r="D53" s="1" t="s">
        <v>13</v>
      </c>
      <c r="E53" s="2"/>
    </row>
    <row r="54" spans="1:5" ht="15.75" customHeight="1" x14ac:dyDescent="0.25">
      <c r="A54" s="1" t="s">
        <v>201</v>
      </c>
      <c r="B54" s="1" t="s">
        <v>458</v>
      </c>
      <c r="C54" s="1" t="s">
        <v>7</v>
      </c>
      <c r="D54" s="1" t="s">
        <v>8</v>
      </c>
      <c r="E54" s="2">
        <v>10</v>
      </c>
    </row>
    <row r="55" spans="1:5" ht="15.75" customHeight="1" x14ac:dyDescent="0.25">
      <c r="A55" s="1" t="s">
        <v>487</v>
      </c>
      <c r="B55" s="1" t="s">
        <v>458</v>
      </c>
      <c r="C55" s="1" t="s">
        <v>11</v>
      </c>
      <c r="D55" s="1" t="s">
        <v>8</v>
      </c>
      <c r="E55" s="2"/>
    </row>
    <row r="56" spans="1:5" ht="15.75" customHeight="1" x14ac:dyDescent="0.25">
      <c r="D56" s="1" t="s">
        <v>61</v>
      </c>
      <c r="E56" s="3">
        <f>SUM(E2:E55)</f>
        <v>220</v>
      </c>
    </row>
    <row r="57" spans="1:5" ht="15.75" customHeight="1" x14ac:dyDescent="0.25">
      <c r="D57" s="1" t="s">
        <v>62</v>
      </c>
      <c r="E57" s="2">
        <v>17000</v>
      </c>
    </row>
    <row r="58" spans="1:5" ht="15.75" customHeight="1" x14ac:dyDescent="0.25">
      <c r="D58" s="1" t="s">
        <v>63</v>
      </c>
      <c r="E58" s="1">
        <f>E56*E57</f>
        <v>3740000</v>
      </c>
    </row>
    <row r="59" spans="1:5" ht="15.75" customHeight="1" x14ac:dyDescent="0.25">
      <c r="D59" s="1" t="s">
        <v>64</v>
      </c>
      <c r="E59" s="2">
        <v>0</v>
      </c>
    </row>
    <row r="60" spans="1:5" ht="15.75" customHeight="1" x14ac:dyDescent="0.25">
      <c r="D60" s="1" t="s">
        <v>65</v>
      </c>
      <c r="E60" s="2">
        <v>0</v>
      </c>
    </row>
    <row r="61" spans="1:5" ht="15.75" customHeight="1" x14ac:dyDescent="0.25">
      <c r="D61" s="1" t="s">
        <v>66</v>
      </c>
      <c r="E61" s="2">
        <v>0</v>
      </c>
    </row>
    <row r="62" spans="1:5" ht="15.75" customHeight="1" x14ac:dyDescent="0.25">
      <c r="D62" s="1" t="s">
        <v>67</v>
      </c>
      <c r="E62" s="2">
        <v>0</v>
      </c>
    </row>
    <row r="63" spans="1:5" ht="15.75" customHeight="1" x14ac:dyDescent="0.25">
      <c r="D63" s="1" t="s">
        <v>68</v>
      </c>
      <c r="E63" s="2">
        <v>0</v>
      </c>
    </row>
    <row r="64" spans="1:5" ht="15.75" customHeight="1" x14ac:dyDescent="0.25">
      <c r="D64" s="1" t="s">
        <v>69</v>
      </c>
      <c r="E64" s="3">
        <f>E58 - SUM(E59:E63)</f>
        <v>3740000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96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488</v>
      </c>
      <c r="B2" s="1" t="s">
        <v>489</v>
      </c>
      <c r="C2" s="1" t="s">
        <v>7</v>
      </c>
      <c r="D2" s="1" t="s">
        <v>55</v>
      </c>
      <c r="E2" s="2">
        <v>15</v>
      </c>
      <c r="F2" s="1" t="s">
        <v>95</v>
      </c>
    </row>
    <row r="3" spans="1:6" ht="15.75" x14ac:dyDescent="0.25">
      <c r="A3" s="1" t="s">
        <v>422</v>
      </c>
      <c r="B3" s="1" t="s">
        <v>489</v>
      </c>
      <c r="C3" s="1" t="s">
        <v>11</v>
      </c>
      <c r="D3" s="1" t="s">
        <v>55</v>
      </c>
      <c r="E3" s="2"/>
    </row>
    <row r="4" spans="1:6" ht="15.75" x14ac:dyDescent="0.25">
      <c r="A4" s="1" t="s">
        <v>490</v>
      </c>
      <c r="B4" s="1" t="s">
        <v>489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153</v>
      </c>
      <c r="B5" s="1" t="s">
        <v>489</v>
      </c>
      <c r="C5" s="1" t="s">
        <v>11</v>
      </c>
      <c r="D5" s="1" t="s">
        <v>55</v>
      </c>
      <c r="E5" s="2"/>
    </row>
    <row r="6" spans="1:6" ht="15.75" x14ac:dyDescent="0.25">
      <c r="A6" s="1" t="s">
        <v>491</v>
      </c>
      <c r="B6" s="1" t="s">
        <v>489</v>
      </c>
      <c r="C6" s="1" t="s">
        <v>7</v>
      </c>
      <c r="D6" s="1" t="s">
        <v>55</v>
      </c>
      <c r="E6" s="2">
        <v>7.5</v>
      </c>
      <c r="F6" s="1" t="s">
        <v>95</v>
      </c>
    </row>
    <row r="7" spans="1:6" ht="15.75" x14ac:dyDescent="0.25">
      <c r="A7" s="1" t="s">
        <v>304</v>
      </c>
      <c r="B7" s="1" t="s">
        <v>489</v>
      </c>
      <c r="C7" s="1" t="s">
        <v>11</v>
      </c>
      <c r="D7" s="1" t="s">
        <v>55</v>
      </c>
      <c r="E7" s="2"/>
    </row>
    <row r="8" spans="1:6" ht="15.75" x14ac:dyDescent="0.25">
      <c r="A8" s="1" t="s">
        <v>492</v>
      </c>
      <c r="B8" s="1" t="s">
        <v>489</v>
      </c>
      <c r="C8" s="1" t="s">
        <v>7</v>
      </c>
      <c r="D8" s="1" t="s">
        <v>8</v>
      </c>
      <c r="E8" s="2">
        <v>5</v>
      </c>
    </row>
    <row r="9" spans="1:6" ht="15.75" x14ac:dyDescent="0.25">
      <c r="A9" s="1" t="s">
        <v>232</v>
      </c>
      <c r="B9" s="1" t="s">
        <v>489</v>
      </c>
      <c r="C9" s="1" t="s">
        <v>11</v>
      </c>
      <c r="D9" s="1" t="s">
        <v>8</v>
      </c>
      <c r="E9" s="2"/>
    </row>
    <row r="10" spans="1:6" ht="15.75" x14ac:dyDescent="0.25">
      <c r="A10" s="1" t="s">
        <v>493</v>
      </c>
      <c r="B10" s="1" t="s">
        <v>489</v>
      </c>
      <c r="C10" s="1" t="s">
        <v>7</v>
      </c>
      <c r="D10" s="1" t="s">
        <v>55</v>
      </c>
      <c r="E10" s="2">
        <v>5</v>
      </c>
    </row>
    <row r="11" spans="1:6" ht="15.75" x14ac:dyDescent="0.25">
      <c r="A11" s="1" t="s">
        <v>77</v>
      </c>
      <c r="B11" s="1" t="s">
        <v>489</v>
      </c>
      <c r="C11" s="1" t="s">
        <v>11</v>
      </c>
      <c r="D11" s="1" t="s">
        <v>55</v>
      </c>
      <c r="E11" s="2"/>
    </row>
    <row r="12" spans="1:6" ht="15.75" x14ac:dyDescent="0.25">
      <c r="A12" s="1" t="s">
        <v>494</v>
      </c>
      <c r="B12" s="1" t="s">
        <v>489</v>
      </c>
      <c r="C12" s="1" t="s">
        <v>7</v>
      </c>
      <c r="D12" s="1" t="s">
        <v>55</v>
      </c>
      <c r="E12" s="2">
        <v>5</v>
      </c>
    </row>
    <row r="13" spans="1:6" ht="15.75" x14ac:dyDescent="0.25">
      <c r="A13" s="1" t="s">
        <v>174</v>
      </c>
      <c r="B13" s="1" t="s">
        <v>489</v>
      </c>
      <c r="C13" s="1" t="s">
        <v>11</v>
      </c>
      <c r="D13" s="1" t="s">
        <v>55</v>
      </c>
      <c r="E13" s="2"/>
    </row>
    <row r="14" spans="1:6" ht="15.75" x14ac:dyDescent="0.25">
      <c r="A14" s="1" t="s">
        <v>495</v>
      </c>
      <c r="B14" s="1" t="s">
        <v>489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430</v>
      </c>
      <c r="B15" s="1" t="s">
        <v>489</v>
      </c>
      <c r="C15" s="1" t="s">
        <v>11</v>
      </c>
      <c r="D15" s="1" t="s">
        <v>55</v>
      </c>
      <c r="E15" s="2"/>
    </row>
    <row r="16" spans="1:6" ht="15.75" x14ac:dyDescent="0.25">
      <c r="A16" s="1" t="s">
        <v>496</v>
      </c>
      <c r="B16" s="1" t="s">
        <v>489</v>
      </c>
      <c r="C16" s="1" t="s">
        <v>7</v>
      </c>
      <c r="D16" s="1" t="s">
        <v>55</v>
      </c>
      <c r="E16" s="2">
        <v>10</v>
      </c>
    </row>
    <row r="17" spans="1:5" ht="15.75" x14ac:dyDescent="0.25">
      <c r="A17" s="1" t="s">
        <v>310</v>
      </c>
      <c r="B17" s="1" t="s">
        <v>489</v>
      </c>
      <c r="C17" s="1" t="s">
        <v>11</v>
      </c>
      <c r="D17" s="1" t="s">
        <v>55</v>
      </c>
      <c r="E17" s="2"/>
    </row>
    <row r="18" spans="1:5" ht="15.75" x14ac:dyDescent="0.25">
      <c r="A18" s="1" t="s">
        <v>497</v>
      </c>
      <c r="B18" s="1" t="s">
        <v>489</v>
      </c>
      <c r="C18" s="1" t="s">
        <v>7</v>
      </c>
      <c r="D18" s="1" t="s">
        <v>55</v>
      </c>
      <c r="E18" s="2">
        <v>5</v>
      </c>
    </row>
    <row r="19" spans="1:5" ht="15.75" customHeight="1" x14ac:dyDescent="0.25">
      <c r="A19" s="1" t="s">
        <v>469</v>
      </c>
      <c r="B19" s="1" t="s">
        <v>489</v>
      </c>
      <c r="C19" s="1" t="s">
        <v>11</v>
      </c>
      <c r="D19" s="1" t="s">
        <v>55</v>
      </c>
      <c r="E19" s="2"/>
    </row>
    <row r="20" spans="1:5" ht="15.75" customHeight="1" x14ac:dyDescent="0.25">
      <c r="A20" s="1" t="s">
        <v>177</v>
      </c>
      <c r="B20" s="1" t="s">
        <v>489</v>
      </c>
      <c r="C20" s="1" t="s">
        <v>7</v>
      </c>
      <c r="D20" s="1" t="s">
        <v>8</v>
      </c>
      <c r="E20" s="2">
        <v>5</v>
      </c>
    </row>
    <row r="21" spans="1:5" ht="15.75" customHeight="1" x14ac:dyDescent="0.25">
      <c r="A21" s="1" t="s">
        <v>498</v>
      </c>
      <c r="B21" s="1" t="s">
        <v>489</v>
      </c>
      <c r="C21" s="1" t="s">
        <v>11</v>
      </c>
      <c r="D21" s="1" t="s">
        <v>8</v>
      </c>
      <c r="E21" s="2"/>
    </row>
    <row r="22" spans="1:5" ht="15.75" customHeight="1" x14ac:dyDescent="0.25">
      <c r="A22" s="1" t="s">
        <v>499</v>
      </c>
      <c r="B22" s="1" t="s">
        <v>489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213</v>
      </c>
      <c r="B23" s="1" t="s">
        <v>489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500</v>
      </c>
      <c r="B24" s="1" t="s">
        <v>489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501</v>
      </c>
      <c r="B25" s="1" t="s">
        <v>489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502</v>
      </c>
      <c r="B26" s="1" t="s">
        <v>489</v>
      </c>
      <c r="C26" s="1" t="s">
        <v>7</v>
      </c>
      <c r="D26" s="1" t="s">
        <v>55</v>
      </c>
      <c r="E26" s="2">
        <v>10</v>
      </c>
    </row>
    <row r="27" spans="1:5" ht="15.75" customHeight="1" x14ac:dyDescent="0.25">
      <c r="A27" s="1" t="s">
        <v>503</v>
      </c>
      <c r="B27" s="1" t="s">
        <v>489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504</v>
      </c>
      <c r="B28" s="1" t="s">
        <v>489</v>
      </c>
      <c r="C28" s="1" t="s">
        <v>7</v>
      </c>
      <c r="D28" s="1" t="s">
        <v>55</v>
      </c>
      <c r="E28" s="2">
        <v>5</v>
      </c>
    </row>
    <row r="29" spans="1:5" ht="15.75" customHeight="1" x14ac:dyDescent="0.25">
      <c r="A29" s="1" t="s">
        <v>505</v>
      </c>
      <c r="B29" s="1" t="s">
        <v>489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317</v>
      </c>
      <c r="B30" s="1" t="s">
        <v>489</v>
      </c>
      <c r="C30" s="1" t="s">
        <v>7</v>
      </c>
      <c r="D30" s="1" t="s">
        <v>55</v>
      </c>
      <c r="E30" s="2">
        <v>5</v>
      </c>
    </row>
    <row r="31" spans="1:5" ht="15.75" customHeight="1" x14ac:dyDescent="0.25">
      <c r="A31" s="1" t="s">
        <v>124</v>
      </c>
      <c r="B31" s="1" t="s">
        <v>489</v>
      </c>
      <c r="C31" s="1" t="s">
        <v>11</v>
      </c>
      <c r="D31" s="1" t="s">
        <v>55</v>
      </c>
      <c r="E31" s="2"/>
    </row>
    <row r="32" spans="1:5" ht="15.75" customHeight="1" x14ac:dyDescent="0.25">
      <c r="A32" s="1" t="s">
        <v>506</v>
      </c>
      <c r="B32" s="1" t="s">
        <v>489</v>
      </c>
      <c r="C32" s="1" t="s">
        <v>7</v>
      </c>
      <c r="D32" s="1" t="s">
        <v>55</v>
      </c>
      <c r="E32" s="2">
        <v>5</v>
      </c>
    </row>
    <row r="33" spans="1:5" ht="15.75" customHeight="1" x14ac:dyDescent="0.25">
      <c r="A33" s="1" t="s">
        <v>507</v>
      </c>
      <c r="B33" s="1" t="s">
        <v>489</v>
      </c>
      <c r="C33" s="1" t="s">
        <v>11</v>
      </c>
      <c r="D33" s="1" t="s">
        <v>55</v>
      </c>
      <c r="E33" s="2"/>
    </row>
    <row r="34" spans="1:5" ht="15.75" customHeight="1" x14ac:dyDescent="0.25">
      <c r="A34" s="1" t="s">
        <v>508</v>
      </c>
      <c r="B34" s="1" t="s">
        <v>489</v>
      </c>
      <c r="C34" s="1" t="s">
        <v>7</v>
      </c>
      <c r="D34" s="1" t="s">
        <v>55</v>
      </c>
      <c r="E34" s="2">
        <v>5</v>
      </c>
    </row>
    <row r="35" spans="1:5" ht="15.75" customHeight="1" x14ac:dyDescent="0.25">
      <c r="A35" s="1" t="s">
        <v>509</v>
      </c>
      <c r="B35" s="1" t="s">
        <v>489</v>
      </c>
      <c r="C35" s="1" t="s">
        <v>11</v>
      </c>
      <c r="D35" s="1" t="s">
        <v>55</v>
      </c>
      <c r="E35" s="2"/>
    </row>
    <row r="36" spans="1:5" ht="15.75" customHeight="1" x14ac:dyDescent="0.25">
      <c r="A36" s="1" t="s">
        <v>510</v>
      </c>
      <c r="B36" s="1" t="s">
        <v>489</v>
      </c>
      <c r="C36" s="1" t="s">
        <v>7</v>
      </c>
      <c r="D36" s="1" t="s">
        <v>55</v>
      </c>
      <c r="E36" s="2">
        <v>5</v>
      </c>
    </row>
    <row r="37" spans="1:5" ht="15.75" customHeight="1" x14ac:dyDescent="0.25">
      <c r="A37" s="1" t="s">
        <v>511</v>
      </c>
      <c r="B37" s="1" t="s">
        <v>489</v>
      </c>
      <c r="C37" s="1" t="s">
        <v>11</v>
      </c>
      <c r="D37" s="1" t="s">
        <v>55</v>
      </c>
      <c r="E37" s="2"/>
    </row>
    <row r="38" spans="1:5" ht="15.75" customHeight="1" x14ac:dyDescent="0.25">
      <c r="A38" s="1" t="s">
        <v>263</v>
      </c>
      <c r="B38" s="1" t="s">
        <v>489</v>
      </c>
      <c r="C38" s="1" t="s">
        <v>7</v>
      </c>
      <c r="D38" s="1" t="s">
        <v>55</v>
      </c>
      <c r="E38" s="2">
        <v>5</v>
      </c>
    </row>
    <row r="39" spans="1:5" ht="15.75" customHeight="1" x14ac:dyDescent="0.25">
      <c r="A39" s="1" t="s">
        <v>323</v>
      </c>
      <c r="B39" s="1" t="s">
        <v>489</v>
      </c>
      <c r="C39" s="1" t="s">
        <v>11</v>
      </c>
      <c r="D39" s="1" t="s">
        <v>55</v>
      </c>
      <c r="E39" s="2"/>
    </row>
    <row r="40" spans="1:5" ht="15.75" customHeight="1" x14ac:dyDescent="0.25">
      <c r="A40" s="1" t="s">
        <v>192</v>
      </c>
      <c r="B40" s="1" t="s">
        <v>489</v>
      </c>
      <c r="C40" s="1" t="s">
        <v>7</v>
      </c>
      <c r="D40" s="1" t="s">
        <v>55</v>
      </c>
      <c r="E40" s="2">
        <v>5</v>
      </c>
    </row>
    <row r="41" spans="1:5" ht="15.75" customHeight="1" x14ac:dyDescent="0.25">
      <c r="A41" s="1" t="s">
        <v>512</v>
      </c>
      <c r="B41" s="1" t="s">
        <v>489</v>
      </c>
      <c r="C41" s="1" t="s">
        <v>11</v>
      </c>
      <c r="D41" s="1" t="s">
        <v>55</v>
      </c>
      <c r="E41" s="2"/>
    </row>
    <row r="42" spans="1:5" ht="15.75" customHeight="1" x14ac:dyDescent="0.25">
      <c r="A42" s="1" t="s">
        <v>513</v>
      </c>
      <c r="B42" s="1" t="s">
        <v>489</v>
      </c>
      <c r="C42" s="1" t="s">
        <v>7</v>
      </c>
      <c r="D42" s="1" t="s">
        <v>8</v>
      </c>
      <c r="E42" s="2">
        <v>5</v>
      </c>
    </row>
    <row r="43" spans="1:5" ht="15.75" customHeight="1" x14ac:dyDescent="0.25">
      <c r="A43" s="1" t="s">
        <v>134</v>
      </c>
      <c r="B43" s="1" t="s">
        <v>489</v>
      </c>
      <c r="C43" s="1" t="s">
        <v>11</v>
      </c>
      <c r="D43" s="1" t="s">
        <v>8</v>
      </c>
      <c r="E43" s="2"/>
    </row>
    <row r="44" spans="1:5" ht="15.75" customHeight="1" x14ac:dyDescent="0.25">
      <c r="A44" s="1" t="s">
        <v>51</v>
      </c>
      <c r="B44" s="1" t="s">
        <v>489</v>
      </c>
      <c r="C44" s="1" t="s">
        <v>7</v>
      </c>
      <c r="D44" s="1" t="s">
        <v>55</v>
      </c>
      <c r="E44" s="2">
        <v>5</v>
      </c>
    </row>
    <row r="45" spans="1:5" ht="15.75" customHeight="1" x14ac:dyDescent="0.25">
      <c r="A45" s="1" t="s">
        <v>447</v>
      </c>
      <c r="B45" s="1" t="s">
        <v>489</v>
      </c>
      <c r="C45" s="1" t="s">
        <v>11</v>
      </c>
      <c r="D45" s="1" t="s">
        <v>55</v>
      </c>
      <c r="E45" s="2"/>
    </row>
    <row r="46" spans="1:5" ht="15.75" customHeight="1" x14ac:dyDescent="0.25">
      <c r="A46" s="1" t="s">
        <v>52</v>
      </c>
      <c r="B46" s="1" t="s">
        <v>489</v>
      </c>
      <c r="C46" s="1" t="s">
        <v>7</v>
      </c>
      <c r="D46" s="1" t="s">
        <v>55</v>
      </c>
      <c r="E46" s="2">
        <v>5</v>
      </c>
    </row>
    <row r="47" spans="1:5" ht="15.75" customHeight="1" x14ac:dyDescent="0.25">
      <c r="A47" s="1" t="s">
        <v>53</v>
      </c>
      <c r="B47" s="1" t="s">
        <v>489</v>
      </c>
      <c r="C47" s="1" t="s">
        <v>11</v>
      </c>
      <c r="D47" s="1" t="s">
        <v>55</v>
      </c>
      <c r="E47" s="2"/>
    </row>
    <row r="48" spans="1:5" ht="15.75" customHeight="1" x14ac:dyDescent="0.25">
      <c r="A48" s="1" t="s">
        <v>223</v>
      </c>
      <c r="B48" s="1" t="s">
        <v>489</v>
      </c>
      <c r="C48" s="1" t="s">
        <v>7</v>
      </c>
      <c r="D48" s="1" t="s">
        <v>8</v>
      </c>
      <c r="E48" s="2">
        <v>5</v>
      </c>
    </row>
    <row r="49" spans="1:5" ht="15.75" customHeight="1" x14ac:dyDescent="0.25">
      <c r="A49" s="1" t="s">
        <v>224</v>
      </c>
      <c r="B49" s="1" t="s">
        <v>489</v>
      </c>
      <c r="C49" s="1" t="s">
        <v>11</v>
      </c>
      <c r="D49" s="1" t="s">
        <v>8</v>
      </c>
      <c r="E49" s="2"/>
    </row>
    <row r="50" spans="1:5" ht="15.75" customHeight="1" x14ac:dyDescent="0.25">
      <c r="A50" s="1" t="s">
        <v>334</v>
      </c>
      <c r="B50" s="1" t="s">
        <v>489</v>
      </c>
      <c r="C50" s="1" t="s">
        <v>7</v>
      </c>
      <c r="D50" s="1" t="s">
        <v>55</v>
      </c>
      <c r="E50" s="2">
        <v>5</v>
      </c>
    </row>
    <row r="51" spans="1:5" ht="15.75" customHeight="1" x14ac:dyDescent="0.25">
      <c r="A51" s="1" t="s">
        <v>142</v>
      </c>
      <c r="B51" s="1" t="s">
        <v>489</v>
      </c>
      <c r="C51" s="1" t="s">
        <v>11</v>
      </c>
      <c r="D51" s="1" t="s">
        <v>55</v>
      </c>
      <c r="E51" s="2"/>
    </row>
    <row r="52" spans="1:5" ht="15.75" customHeight="1" x14ac:dyDescent="0.25">
      <c r="A52" s="1" t="s">
        <v>92</v>
      </c>
      <c r="B52" s="1" t="s">
        <v>489</v>
      </c>
      <c r="C52" s="1" t="s">
        <v>7</v>
      </c>
      <c r="D52" s="1" t="s">
        <v>55</v>
      </c>
      <c r="E52" s="2">
        <v>5</v>
      </c>
    </row>
    <row r="53" spans="1:5" ht="15.75" customHeight="1" x14ac:dyDescent="0.25">
      <c r="A53" s="1" t="s">
        <v>514</v>
      </c>
      <c r="B53" s="1" t="s">
        <v>489</v>
      </c>
      <c r="C53" s="1" t="s">
        <v>11</v>
      </c>
      <c r="D53" s="1" t="s">
        <v>55</v>
      </c>
      <c r="E53" s="2"/>
    </row>
    <row r="54" spans="1:5" ht="15.75" customHeight="1" x14ac:dyDescent="0.25">
      <c r="D54" s="1" t="s">
        <v>61</v>
      </c>
      <c r="E54" s="3">
        <f>SUM(E2:E53)</f>
        <v>155</v>
      </c>
    </row>
    <row r="55" spans="1:5" ht="15.75" customHeight="1" x14ac:dyDescent="0.25">
      <c r="D55" s="1" t="s">
        <v>62</v>
      </c>
      <c r="E55" s="2">
        <v>17000</v>
      </c>
    </row>
    <row r="56" spans="1:5" ht="15.75" customHeight="1" x14ac:dyDescent="0.25">
      <c r="D56" s="1" t="s">
        <v>63</v>
      </c>
      <c r="E56" s="1">
        <f>E54*E55</f>
        <v>2635000</v>
      </c>
    </row>
    <row r="57" spans="1:5" ht="15.75" customHeight="1" x14ac:dyDescent="0.25">
      <c r="D57" s="1" t="s">
        <v>64</v>
      </c>
      <c r="E57" s="2">
        <v>0</v>
      </c>
    </row>
    <row r="58" spans="1:5" ht="15.75" customHeight="1" x14ac:dyDescent="0.25">
      <c r="D58" s="1" t="s">
        <v>65</v>
      </c>
      <c r="E58" s="2">
        <v>0</v>
      </c>
    </row>
    <row r="59" spans="1:5" ht="15.75" customHeight="1" x14ac:dyDescent="0.25">
      <c r="D59" s="1" t="s">
        <v>66</v>
      </c>
      <c r="E59" s="2">
        <v>0</v>
      </c>
    </row>
    <row r="60" spans="1:5" ht="15.75" customHeight="1" x14ac:dyDescent="0.25">
      <c r="D60" s="1" t="s">
        <v>67</v>
      </c>
      <c r="E60" s="2">
        <v>0</v>
      </c>
    </row>
    <row r="61" spans="1:5" ht="15.75" customHeight="1" x14ac:dyDescent="0.25">
      <c r="D61" s="1" t="s">
        <v>68</v>
      </c>
      <c r="E61" s="2">
        <v>0</v>
      </c>
    </row>
    <row r="62" spans="1:5" ht="15.75" customHeight="1" x14ac:dyDescent="0.25">
      <c r="D62" s="1" t="s">
        <v>69</v>
      </c>
      <c r="E62" s="3">
        <f>E56 - SUM(E57:E61)</f>
        <v>2635000</v>
      </c>
    </row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98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515</v>
      </c>
      <c r="B2" s="1" t="s">
        <v>516</v>
      </c>
      <c r="C2" s="1" t="s">
        <v>7</v>
      </c>
      <c r="D2" s="1" t="s">
        <v>97</v>
      </c>
      <c r="E2" s="2">
        <v>7.5</v>
      </c>
      <c r="F2" s="1" t="s">
        <v>95</v>
      </c>
    </row>
    <row r="3" spans="1:6" ht="15.75" x14ac:dyDescent="0.25">
      <c r="A3" s="1" t="s">
        <v>301</v>
      </c>
      <c r="B3" s="1" t="s">
        <v>516</v>
      </c>
      <c r="C3" s="1" t="s">
        <v>11</v>
      </c>
      <c r="D3" s="1" t="s">
        <v>97</v>
      </c>
      <c r="E3" s="2"/>
    </row>
    <row r="4" spans="1:6" ht="15.75" x14ac:dyDescent="0.25">
      <c r="A4" s="1" t="s">
        <v>341</v>
      </c>
      <c r="B4" s="1" t="s">
        <v>516</v>
      </c>
      <c r="C4" s="1" t="s">
        <v>7</v>
      </c>
      <c r="D4" s="1" t="s">
        <v>13</v>
      </c>
      <c r="E4" s="2">
        <v>15</v>
      </c>
      <c r="F4" s="1" t="s">
        <v>95</v>
      </c>
    </row>
    <row r="5" spans="1:6" ht="15.75" x14ac:dyDescent="0.25">
      <c r="A5" s="1" t="s">
        <v>517</v>
      </c>
      <c r="B5" s="1" t="s">
        <v>516</v>
      </c>
      <c r="C5" s="1" t="s">
        <v>11</v>
      </c>
      <c r="D5" s="1" t="s">
        <v>13</v>
      </c>
      <c r="E5" s="2"/>
    </row>
    <row r="6" spans="1:6" ht="15.75" x14ac:dyDescent="0.25">
      <c r="A6" s="1" t="s">
        <v>518</v>
      </c>
      <c r="B6" s="1" t="s">
        <v>516</v>
      </c>
      <c r="C6" s="1" t="s">
        <v>7</v>
      </c>
      <c r="D6" s="1" t="s">
        <v>55</v>
      </c>
      <c r="E6" s="2">
        <v>5</v>
      </c>
    </row>
    <row r="7" spans="1:6" ht="15.75" x14ac:dyDescent="0.25">
      <c r="A7" s="1" t="s">
        <v>461</v>
      </c>
      <c r="B7" s="1" t="s">
        <v>516</v>
      </c>
      <c r="C7" s="1" t="s">
        <v>11</v>
      </c>
      <c r="D7" s="1" t="s">
        <v>55</v>
      </c>
      <c r="E7" s="2"/>
    </row>
    <row r="8" spans="1:6" ht="15.75" x14ac:dyDescent="0.25">
      <c r="A8" s="1" t="s">
        <v>138</v>
      </c>
      <c r="E8" s="2">
        <v>5</v>
      </c>
    </row>
    <row r="9" spans="1:6" ht="15.75" x14ac:dyDescent="0.25">
      <c r="A9" s="1" t="s">
        <v>519</v>
      </c>
      <c r="B9" s="1" t="s">
        <v>516</v>
      </c>
      <c r="C9" s="1" t="s">
        <v>11</v>
      </c>
      <c r="D9" s="1" t="s">
        <v>55</v>
      </c>
      <c r="E9" s="2"/>
    </row>
    <row r="10" spans="1:6" ht="15.75" x14ac:dyDescent="0.25">
      <c r="A10" s="1" t="s">
        <v>520</v>
      </c>
      <c r="B10" s="1" t="s">
        <v>516</v>
      </c>
      <c r="C10" s="1" t="s">
        <v>7</v>
      </c>
      <c r="D10" s="1" t="s">
        <v>55</v>
      </c>
      <c r="E10" s="2">
        <v>5</v>
      </c>
    </row>
    <row r="11" spans="1:6" ht="15.75" x14ac:dyDescent="0.25">
      <c r="A11" s="1" t="s">
        <v>103</v>
      </c>
      <c r="B11" s="1" t="s">
        <v>516</v>
      </c>
      <c r="C11" s="1" t="s">
        <v>11</v>
      </c>
      <c r="D11" s="1" t="s">
        <v>55</v>
      </c>
      <c r="E11" s="2"/>
    </row>
    <row r="12" spans="1:6" ht="15.75" x14ac:dyDescent="0.25">
      <c r="A12" s="1" t="s">
        <v>161</v>
      </c>
      <c r="B12" s="1" t="s">
        <v>516</v>
      </c>
      <c r="C12" s="1" t="s">
        <v>7</v>
      </c>
      <c r="D12" s="1" t="s">
        <v>97</v>
      </c>
      <c r="E12" s="2">
        <v>5</v>
      </c>
    </row>
    <row r="13" spans="1:6" ht="15.75" x14ac:dyDescent="0.25">
      <c r="A13" s="1" t="s">
        <v>521</v>
      </c>
      <c r="B13" s="1" t="s">
        <v>516</v>
      </c>
      <c r="C13" s="1" t="s">
        <v>11</v>
      </c>
      <c r="D13" s="1" t="s">
        <v>97</v>
      </c>
      <c r="E13" s="2"/>
    </row>
    <row r="14" spans="1:6" ht="15.75" x14ac:dyDescent="0.25">
      <c r="A14" s="1" t="s">
        <v>522</v>
      </c>
      <c r="B14" s="1" t="s">
        <v>516</v>
      </c>
      <c r="C14" s="1" t="s">
        <v>7</v>
      </c>
      <c r="D14" s="1" t="s">
        <v>97</v>
      </c>
      <c r="E14" s="2">
        <v>5</v>
      </c>
    </row>
    <row r="15" spans="1:6" ht="15.75" x14ac:dyDescent="0.25">
      <c r="A15" s="1" t="s">
        <v>236</v>
      </c>
      <c r="B15" s="1" t="s">
        <v>516</v>
      </c>
      <c r="C15" s="1" t="s">
        <v>11</v>
      </c>
      <c r="D15" s="1" t="s">
        <v>97</v>
      </c>
      <c r="E15" s="2"/>
    </row>
    <row r="16" spans="1:6" ht="15.75" x14ac:dyDescent="0.25">
      <c r="A16" s="1" t="s">
        <v>523</v>
      </c>
      <c r="B16" s="1" t="s">
        <v>516</v>
      </c>
      <c r="C16" s="1" t="s">
        <v>7</v>
      </c>
      <c r="D16" s="1" t="s">
        <v>97</v>
      </c>
      <c r="E16" s="2">
        <v>5</v>
      </c>
    </row>
    <row r="17" spans="1:5" ht="15.75" x14ac:dyDescent="0.25">
      <c r="A17" s="1" t="s">
        <v>524</v>
      </c>
      <c r="B17" s="1" t="s">
        <v>516</v>
      </c>
      <c r="C17" s="1" t="s">
        <v>11</v>
      </c>
      <c r="D17" s="1" t="s">
        <v>97</v>
      </c>
      <c r="E17" s="2"/>
    </row>
    <row r="18" spans="1:5" ht="15.75" x14ac:dyDescent="0.25">
      <c r="A18" s="1" t="s">
        <v>525</v>
      </c>
      <c r="B18" s="1" t="s">
        <v>516</v>
      </c>
      <c r="C18" s="1" t="s">
        <v>7</v>
      </c>
      <c r="D18" s="1" t="s">
        <v>55</v>
      </c>
      <c r="E18" s="2">
        <v>5</v>
      </c>
    </row>
    <row r="19" spans="1:5" ht="15.75" x14ac:dyDescent="0.25">
      <c r="A19" s="1" t="s">
        <v>526</v>
      </c>
      <c r="B19" s="1" t="s">
        <v>516</v>
      </c>
      <c r="C19" s="1" t="s">
        <v>11</v>
      </c>
      <c r="D19" s="1" t="s">
        <v>55</v>
      </c>
      <c r="E19" s="2"/>
    </row>
    <row r="20" spans="1:5" ht="15.75" x14ac:dyDescent="0.25">
      <c r="A20" s="1" t="s">
        <v>470</v>
      </c>
      <c r="B20" s="1" t="s">
        <v>516</v>
      </c>
      <c r="C20" s="1" t="s">
        <v>7</v>
      </c>
      <c r="D20" s="1" t="s">
        <v>13</v>
      </c>
      <c r="E20" s="2">
        <v>4.5</v>
      </c>
    </row>
    <row r="21" spans="1:5" ht="15.75" customHeight="1" x14ac:dyDescent="0.25">
      <c r="A21" s="1" t="s">
        <v>527</v>
      </c>
      <c r="B21" s="1" t="s">
        <v>516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528</v>
      </c>
      <c r="B22" s="1" t="s">
        <v>516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29</v>
      </c>
      <c r="B23" s="1" t="s">
        <v>516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529</v>
      </c>
      <c r="B24" s="1" t="s">
        <v>516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441</v>
      </c>
      <c r="B25" s="1" t="s">
        <v>516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530</v>
      </c>
      <c r="B26" s="1" t="s">
        <v>516</v>
      </c>
      <c r="C26" s="1" t="s">
        <v>7</v>
      </c>
      <c r="D26" s="1" t="s">
        <v>13</v>
      </c>
      <c r="E26" s="2">
        <v>5</v>
      </c>
    </row>
    <row r="27" spans="1:5" ht="15.75" customHeight="1" x14ac:dyDescent="0.25">
      <c r="A27" s="1" t="s">
        <v>531</v>
      </c>
      <c r="B27" s="1" t="s">
        <v>516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532</v>
      </c>
      <c r="B28" s="1" t="s">
        <v>516</v>
      </c>
      <c r="C28" s="1" t="s">
        <v>7</v>
      </c>
      <c r="D28" s="1" t="s">
        <v>97</v>
      </c>
      <c r="E28" s="2">
        <v>5</v>
      </c>
    </row>
    <row r="29" spans="1:5" ht="15.75" customHeight="1" x14ac:dyDescent="0.25">
      <c r="A29" s="1" t="s">
        <v>319</v>
      </c>
      <c r="B29" s="1" t="s">
        <v>516</v>
      </c>
      <c r="C29" s="1" t="s">
        <v>11</v>
      </c>
      <c r="D29" s="1" t="s">
        <v>97</v>
      </c>
      <c r="E29" s="2"/>
    </row>
    <row r="30" spans="1:5" ht="15.75" customHeight="1" x14ac:dyDescent="0.25">
      <c r="A30" s="1" t="s">
        <v>533</v>
      </c>
      <c r="B30" s="1" t="s">
        <v>516</v>
      </c>
      <c r="C30" s="1" t="s">
        <v>7</v>
      </c>
      <c r="D30" s="1" t="s">
        <v>8</v>
      </c>
      <c r="E30" s="2">
        <v>5</v>
      </c>
    </row>
    <row r="31" spans="1:5" ht="15.75" customHeight="1" x14ac:dyDescent="0.25">
      <c r="A31" s="1" t="s">
        <v>207</v>
      </c>
      <c r="E31" s="2"/>
    </row>
    <row r="32" spans="1:5" ht="15.75" customHeight="1" x14ac:dyDescent="0.25">
      <c r="A32" s="1" t="s">
        <v>534</v>
      </c>
      <c r="B32" s="1" t="s">
        <v>516</v>
      </c>
      <c r="C32" s="1" t="s">
        <v>7</v>
      </c>
      <c r="D32" s="1" t="s">
        <v>97</v>
      </c>
      <c r="E32" s="2">
        <v>5</v>
      </c>
    </row>
    <row r="33" spans="1:5" ht="15.75" customHeight="1" x14ac:dyDescent="0.25">
      <c r="A33" s="1" t="s">
        <v>535</v>
      </c>
      <c r="B33" s="1" t="s">
        <v>516</v>
      </c>
      <c r="C33" s="1" t="s">
        <v>11</v>
      </c>
      <c r="D33" s="1" t="s">
        <v>97</v>
      </c>
      <c r="E33" s="2"/>
    </row>
    <row r="34" spans="1:5" ht="15.75" customHeight="1" x14ac:dyDescent="0.25">
      <c r="A34" s="1" t="s">
        <v>263</v>
      </c>
      <c r="B34" s="1" t="s">
        <v>516</v>
      </c>
      <c r="C34" s="1" t="s">
        <v>7</v>
      </c>
      <c r="D34" s="1" t="s">
        <v>97</v>
      </c>
      <c r="E34" s="2">
        <v>5</v>
      </c>
    </row>
    <row r="35" spans="1:5" ht="15.75" customHeight="1" x14ac:dyDescent="0.25">
      <c r="A35" s="1" t="s">
        <v>536</v>
      </c>
      <c r="B35" s="1" t="s">
        <v>516</v>
      </c>
      <c r="C35" s="1" t="s">
        <v>11</v>
      </c>
      <c r="D35" s="1" t="s">
        <v>97</v>
      </c>
      <c r="E35" s="2"/>
    </row>
    <row r="36" spans="1:5" ht="15.75" customHeight="1" x14ac:dyDescent="0.25">
      <c r="A36" s="1" t="s">
        <v>537</v>
      </c>
      <c r="B36" s="1" t="s">
        <v>516</v>
      </c>
      <c r="C36" s="1" t="s">
        <v>7</v>
      </c>
      <c r="D36" s="1" t="s">
        <v>13</v>
      </c>
      <c r="E36" s="2">
        <v>5</v>
      </c>
    </row>
    <row r="37" spans="1:5" ht="15.75" customHeight="1" x14ac:dyDescent="0.25">
      <c r="A37" s="1" t="s">
        <v>250</v>
      </c>
      <c r="B37" s="1" t="s">
        <v>516</v>
      </c>
      <c r="C37" s="1" t="s">
        <v>11</v>
      </c>
      <c r="D37" s="1" t="s">
        <v>13</v>
      </c>
      <c r="E37" s="2"/>
    </row>
    <row r="38" spans="1:5" ht="15.75" customHeight="1" x14ac:dyDescent="0.25">
      <c r="A38" s="1" t="s">
        <v>538</v>
      </c>
      <c r="B38" s="1" t="s">
        <v>516</v>
      </c>
      <c r="C38" s="1" t="s">
        <v>7</v>
      </c>
      <c r="D38" s="1" t="s">
        <v>55</v>
      </c>
      <c r="E38" s="2">
        <v>5</v>
      </c>
    </row>
    <row r="39" spans="1:5" ht="15.75" customHeight="1" x14ac:dyDescent="0.25">
      <c r="A39" s="1" t="s">
        <v>539</v>
      </c>
      <c r="B39" s="1" t="s">
        <v>516</v>
      </c>
      <c r="C39" s="1" t="s">
        <v>11</v>
      </c>
      <c r="D39" s="1" t="s">
        <v>55</v>
      </c>
      <c r="E39" s="2"/>
    </row>
    <row r="40" spans="1:5" ht="15.75" customHeight="1" x14ac:dyDescent="0.25">
      <c r="A40" s="1" t="s">
        <v>294</v>
      </c>
      <c r="B40" s="1" t="s">
        <v>516</v>
      </c>
      <c r="C40" s="1" t="s">
        <v>7</v>
      </c>
      <c r="D40" s="1" t="s">
        <v>97</v>
      </c>
      <c r="E40" s="2">
        <v>5</v>
      </c>
    </row>
    <row r="41" spans="1:5" ht="15.75" customHeight="1" x14ac:dyDescent="0.25">
      <c r="A41" s="1" t="s">
        <v>540</v>
      </c>
      <c r="B41" s="1" t="s">
        <v>516</v>
      </c>
      <c r="C41" s="1" t="s">
        <v>11</v>
      </c>
      <c r="D41" s="1" t="s">
        <v>97</v>
      </c>
      <c r="E41" s="2"/>
    </row>
    <row r="42" spans="1:5" ht="15.75" customHeight="1" x14ac:dyDescent="0.25">
      <c r="A42" s="1" t="s">
        <v>541</v>
      </c>
      <c r="B42" s="1" t="s">
        <v>516</v>
      </c>
      <c r="C42" s="1" t="s">
        <v>7</v>
      </c>
      <c r="D42" s="1" t="s">
        <v>13</v>
      </c>
      <c r="E42" s="2">
        <v>5</v>
      </c>
    </row>
    <row r="43" spans="1:5" ht="15.75" customHeight="1" x14ac:dyDescent="0.25">
      <c r="A43" s="1" t="s">
        <v>327</v>
      </c>
      <c r="B43" s="1" t="s">
        <v>516</v>
      </c>
      <c r="C43" s="1" t="s">
        <v>11</v>
      </c>
      <c r="D43" s="1" t="s">
        <v>13</v>
      </c>
      <c r="E43" s="2"/>
    </row>
    <row r="44" spans="1:5" ht="15.75" customHeight="1" x14ac:dyDescent="0.25">
      <c r="A44" s="1" t="s">
        <v>542</v>
      </c>
      <c r="B44" s="1" t="s">
        <v>516</v>
      </c>
      <c r="C44" s="1" t="s">
        <v>7</v>
      </c>
      <c r="D44" s="1" t="s">
        <v>97</v>
      </c>
      <c r="E44" s="2">
        <v>4</v>
      </c>
    </row>
    <row r="45" spans="1:5" ht="15.75" customHeight="1" x14ac:dyDescent="0.25">
      <c r="A45" s="1" t="s">
        <v>328</v>
      </c>
      <c r="B45" s="1" t="s">
        <v>516</v>
      </c>
      <c r="C45" s="1" t="s">
        <v>11</v>
      </c>
      <c r="D45" s="1" t="s">
        <v>97</v>
      </c>
      <c r="E45" s="2"/>
    </row>
    <row r="46" spans="1:5" ht="15.75" customHeight="1" x14ac:dyDescent="0.25">
      <c r="A46" s="1" t="s">
        <v>543</v>
      </c>
      <c r="B46" s="1" t="s">
        <v>516</v>
      </c>
      <c r="C46" s="1" t="s">
        <v>7</v>
      </c>
      <c r="D46" s="1" t="s">
        <v>97</v>
      </c>
      <c r="E46" s="2">
        <v>4.5</v>
      </c>
    </row>
    <row r="47" spans="1:5" ht="15.75" customHeight="1" x14ac:dyDescent="0.25">
      <c r="A47" s="1" t="s">
        <v>199</v>
      </c>
      <c r="B47" s="1" t="s">
        <v>516</v>
      </c>
      <c r="C47" s="1" t="s">
        <v>11</v>
      </c>
      <c r="D47" s="1" t="s">
        <v>97</v>
      </c>
      <c r="E47" s="2"/>
    </row>
    <row r="48" spans="1:5" ht="15.75" customHeight="1" x14ac:dyDescent="0.25">
      <c r="A48" s="1" t="s">
        <v>378</v>
      </c>
      <c r="B48" s="1" t="s">
        <v>516</v>
      </c>
      <c r="C48" s="1" t="s">
        <v>7</v>
      </c>
      <c r="D48" s="1" t="s">
        <v>13</v>
      </c>
      <c r="E48" s="2">
        <v>5</v>
      </c>
    </row>
    <row r="49" spans="1:5" ht="15.75" customHeight="1" x14ac:dyDescent="0.25">
      <c r="A49" s="1" t="s">
        <v>544</v>
      </c>
      <c r="B49" s="1" t="s">
        <v>516</v>
      </c>
      <c r="C49" s="1" t="s">
        <v>11</v>
      </c>
      <c r="D49" s="1" t="s">
        <v>13</v>
      </c>
      <c r="E49" s="2"/>
    </row>
    <row r="50" spans="1:5" ht="15.75" customHeight="1" x14ac:dyDescent="0.25">
      <c r="A50" s="1" t="s">
        <v>200</v>
      </c>
      <c r="B50" s="1" t="s">
        <v>516</v>
      </c>
      <c r="C50" s="1" t="s">
        <v>7</v>
      </c>
      <c r="D50" s="1" t="s">
        <v>13</v>
      </c>
      <c r="E50" s="2">
        <v>5</v>
      </c>
    </row>
    <row r="51" spans="1:5" ht="15.75" customHeight="1" x14ac:dyDescent="0.25">
      <c r="A51" s="1" t="s">
        <v>225</v>
      </c>
      <c r="B51" s="1" t="s">
        <v>516</v>
      </c>
      <c r="C51" s="1" t="s">
        <v>11</v>
      </c>
      <c r="D51" s="1" t="s">
        <v>13</v>
      </c>
      <c r="E51" s="2"/>
    </row>
    <row r="52" spans="1:5" ht="15.75" customHeight="1" x14ac:dyDescent="0.25">
      <c r="A52" s="1" t="s">
        <v>545</v>
      </c>
      <c r="B52" s="1" t="s">
        <v>516</v>
      </c>
      <c r="C52" s="1" t="s">
        <v>7</v>
      </c>
      <c r="D52" s="1" t="s">
        <v>13</v>
      </c>
      <c r="E52" s="2">
        <v>5</v>
      </c>
    </row>
    <row r="53" spans="1:5" ht="15.75" customHeight="1" x14ac:dyDescent="0.25">
      <c r="A53" s="1" t="s">
        <v>56</v>
      </c>
      <c r="B53" s="1" t="s">
        <v>516</v>
      </c>
      <c r="C53" s="1" t="s">
        <v>11</v>
      </c>
      <c r="D53" s="1" t="s">
        <v>13</v>
      </c>
      <c r="E53" s="2"/>
    </row>
    <row r="54" spans="1:5" ht="15.75" customHeight="1" x14ac:dyDescent="0.25">
      <c r="A54" s="1" t="s">
        <v>349</v>
      </c>
      <c r="B54" s="1" t="s">
        <v>516</v>
      </c>
      <c r="C54" s="1" t="s">
        <v>7</v>
      </c>
      <c r="D54" s="1" t="s">
        <v>13</v>
      </c>
      <c r="E54" s="2">
        <v>5</v>
      </c>
    </row>
    <row r="55" spans="1:5" ht="15.75" customHeight="1" x14ac:dyDescent="0.25">
      <c r="A55" s="1" t="s">
        <v>546</v>
      </c>
      <c r="B55" s="1" t="s">
        <v>516</v>
      </c>
      <c r="C55" s="1" t="s">
        <v>11</v>
      </c>
      <c r="D55" s="1" t="s">
        <v>13</v>
      </c>
      <c r="E55" s="2"/>
    </row>
    <row r="56" spans="1:5" ht="15.75" customHeight="1" x14ac:dyDescent="0.25">
      <c r="D56" s="1" t="s">
        <v>61</v>
      </c>
      <c r="E56" s="3">
        <f>SUM(E2:E55)</f>
        <v>145.5</v>
      </c>
    </row>
    <row r="57" spans="1:5" ht="15.75" customHeight="1" x14ac:dyDescent="0.25">
      <c r="D57" s="1" t="s">
        <v>62</v>
      </c>
      <c r="E57" s="2">
        <v>15000</v>
      </c>
    </row>
    <row r="58" spans="1:5" ht="15.75" customHeight="1" x14ac:dyDescent="0.25">
      <c r="D58" s="1" t="s">
        <v>63</v>
      </c>
      <c r="E58" s="1">
        <f>E56*E57</f>
        <v>2182500</v>
      </c>
    </row>
    <row r="59" spans="1:5" ht="15.75" customHeight="1" x14ac:dyDescent="0.25">
      <c r="D59" s="1" t="s">
        <v>64</v>
      </c>
      <c r="E59" s="2">
        <v>600000</v>
      </c>
    </row>
    <row r="60" spans="1:5" ht="15.75" customHeight="1" x14ac:dyDescent="0.25">
      <c r="D60" s="1" t="s">
        <v>65</v>
      </c>
      <c r="E60" s="2">
        <v>700000</v>
      </c>
    </row>
    <row r="61" spans="1:5" ht="15.75" customHeight="1" x14ac:dyDescent="0.25">
      <c r="D61" s="1" t="s">
        <v>66</v>
      </c>
      <c r="E61" s="2">
        <v>200000</v>
      </c>
    </row>
    <row r="62" spans="1:5" ht="15.75" customHeight="1" x14ac:dyDescent="0.25">
      <c r="D62" s="1" t="s">
        <v>67</v>
      </c>
      <c r="E62" s="2">
        <v>0</v>
      </c>
    </row>
    <row r="63" spans="1:5" ht="15.75" customHeight="1" x14ac:dyDescent="0.25">
      <c r="D63" s="1" t="s">
        <v>68</v>
      </c>
      <c r="E63" s="2">
        <v>0</v>
      </c>
    </row>
    <row r="64" spans="1:5" ht="15.75" customHeight="1" x14ac:dyDescent="0.25">
      <c r="D64" s="1" t="s">
        <v>69</v>
      </c>
      <c r="E64" s="3">
        <f>E58 - SUM(E59:E63)</f>
        <v>682500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547</v>
      </c>
      <c r="B2" s="1" t="s">
        <v>548</v>
      </c>
      <c r="C2" s="1" t="s">
        <v>7</v>
      </c>
      <c r="D2" s="1" t="s">
        <v>13</v>
      </c>
      <c r="E2" s="2">
        <v>5</v>
      </c>
    </row>
    <row r="3" spans="1:5" ht="15.75" x14ac:dyDescent="0.25">
      <c r="A3" s="1" t="s">
        <v>422</v>
      </c>
      <c r="B3" s="1" t="s">
        <v>548</v>
      </c>
      <c r="C3" s="1" t="s">
        <v>11</v>
      </c>
      <c r="D3" s="1" t="s">
        <v>13</v>
      </c>
      <c r="E3" s="2"/>
    </row>
    <row r="4" spans="1:5" ht="15.75" x14ac:dyDescent="0.25">
      <c r="A4" s="1" t="s">
        <v>230</v>
      </c>
      <c r="B4" s="1" t="s">
        <v>548</v>
      </c>
      <c r="C4" s="1" t="s">
        <v>7</v>
      </c>
      <c r="D4" s="1" t="s">
        <v>97</v>
      </c>
      <c r="E4" s="2">
        <v>5</v>
      </c>
    </row>
    <row r="5" spans="1:5" ht="15.75" x14ac:dyDescent="0.25">
      <c r="A5" s="1" t="s">
        <v>549</v>
      </c>
      <c r="B5" s="1" t="s">
        <v>548</v>
      </c>
      <c r="C5" s="1" t="s">
        <v>11</v>
      </c>
      <c r="D5" s="1" t="s">
        <v>97</v>
      </c>
      <c r="E5" s="2"/>
    </row>
    <row r="6" spans="1:5" ht="15.75" x14ac:dyDescent="0.25">
      <c r="A6" s="1" t="s">
        <v>550</v>
      </c>
      <c r="B6" s="1" t="s">
        <v>548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15</v>
      </c>
      <c r="B7" s="1" t="s">
        <v>548</v>
      </c>
      <c r="C7" s="1" t="s">
        <v>11</v>
      </c>
      <c r="D7" s="1" t="s">
        <v>55</v>
      </c>
      <c r="E7" s="2"/>
    </row>
    <row r="8" spans="1:5" ht="15.75" x14ac:dyDescent="0.25">
      <c r="A8" s="1" t="s">
        <v>551</v>
      </c>
      <c r="B8" s="1" t="s">
        <v>548</v>
      </c>
      <c r="C8" s="1" t="s">
        <v>7</v>
      </c>
      <c r="D8" s="1" t="s">
        <v>97</v>
      </c>
      <c r="E8" s="2">
        <v>5</v>
      </c>
    </row>
    <row r="9" spans="1:5" ht="15.75" x14ac:dyDescent="0.25">
      <c r="A9" s="1" t="s">
        <v>99</v>
      </c>
      <c r="B9" s="1" t="s">
        <v>548</v>
      </c>
      <c r="C9" s="1" t="s">
        <v>11</v>
      </c>
      <c r="D9" s="1" t="s">
        <v>97</v>
      </c>
      <c r="E9" s="2"/>
    </row>
    <row r="10" spans="1:5" ht="15.75" x14ac:dyDescent="0.25">
      <c r="A10" s="1" t="s">
        <v>552</v>
      </c>
      <c r="B10" s="1" t="s">
        <v>548</v>
      </c>
      <c r="C10" s="1" t="s">
        <v>7</v>
      </c>
      <c r="D10" s="1" t="s">
        <v>13</v>
      </c>
      <c r="E10" s="2">
        <v>5</v>
      </c>
    </row>
    <row r="11" spans="1:5" ht="15.75" x14ac:dyDescent="0.25">
      <c r="A11" s="1" t="s">
        <v>463</v>
      </c>
      <c r="B11" s="1" t="s">
        <v>548</v>
      </c>
      <c r="C11" s="1" t="s">
        <v>11</v>
      </c>
      <c r="D11" s="1" t="s">
        <v>13</v>
      </c>
      <c r="E11" s="2"/>
    </row>
    <row r="12" spans="1:5" ht="15.75" x14ac:dyDescent="0.25">
      <c r="D12" s="1" t="s">
        <v>61</v>
      </c>
      <c r="E12" s="3">
        <f>SUM(E2:E11)</f>
        <v>25</v>
      </c>
    </row>
    <row r="13" spans="1:5" ht="15.75" x14ac:dyDescent="0.25">
      <c r="D13" s="1" t="s">
        <v>62</v>
      </c>
      <c r="E13" s="2">
        <v>15000</v>
      </c>
    </row>
    <row r="14" spans="1:5" ht="15.75" x14ac:dyDescent="0.25">
      <c r="D14" s="1" t="s">
        <v>63</v>
      </c>
      <c r="E14" s="1">
        <f>E12*E13</f>
        <v>375000</v>
      </c>
    </row>
    <row r="15" spans="1:5" ht="15.75" x14ac:dyDescent="0.25">
      <c r="D15" s="1" t="s">
        <v>64</v>
      </c>
      <c r="E15" s="2">
        <v>0</v>
      </c>
    </row>
    <row r="16" spans="1:5" ht="15.75" x14ac:dyDescent="0.25">
      <c r="D16" s="1" t="s">
        <v>65</v>
      </c>
      <c r="E16" s="2">
        <v>0</v>
      </c>
    </row>
    <row r="17" spans="4:5" ht="15.75" x14ac:dyDescent="0.25">
      <c r="D17" s="1" t="s">
        <v>66</v>
      </c>
      <c r="E17" s="2">
        <v>0</v>
      </c>
    </row>
    <row r="18" spans="4:5" ht="15.75" x14ac:dyDescent="0.25">
      <c r="D18" s="1" t="s">
        <v>67</v>
      </c>
      <c r="E18" s="2">
        <v>0</v>
      </c>
    </row>
    <row r="19" spans="4:5" ht="15.75" x14ac:dyDescent="0.25">
      <c r="D19" s="1" t="s">
        <v>68</v>
      </c>
      <c r="E19" s="2">
        <v>0</v>
      </c>
    </row>
    <row r="20" spans="4:5" ht="15.75" x14ac:dyDescent="0.25">
      <c r="D20" s="1" t="s">
        <v>69</v>
      </c>
      <c r="E20" s="3">
        <f>E14 - SUM(E15:E19)</f>
        <v>375000</v>
      </c>
    </row>
    <row r="21" spans="4:5" ht="15.75" customHeight="1" x14ac:dyDescent="0.25"/>
    <row r="22" spans="4:5" ht="15.75" customHeight="1" x14ac:dyDescent="0.25"/>
    <row r="23" spans="4:5" ht="15.75" customHeight="1" x14ac:dyDescent="0.25"/>
    <row r="24" spans="4:5" ht="15.75" customHeight="1" x14ac:dyDescent="0.25"/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98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153</v>
      </c>
      <c r="B2" s="1" t="s">
        <v>553</v>
      </c>
      <c r="C2" s="1" t="s">
        <v>7</v>
      </c>
      <c r="D2" s="1" t="s">
        <v>13</v>
      </c>
      <c r="E2" s="2">
        <v>7.5</v>
      </c>
      <c r="F2" s="1" t="s">
        <v>95</v>
      </c>
    </row>
    <row r="3" spans="1:6" ht="15.75" x14ac:dyDescent="0.25">
      <c r="A3" s="1" t="s">
        <v>554</v>
      </c>
      <c r="B3" s="1" t="s">
        <v>553</v>
      </c>
      <c r="C3" s="1" t="s">
        <v>11</v>
      </c>
      <c r="D3" s="1" t="s">
        <v>13</v>
      </c>
      <c r="E3" s="2"/>
    </row>
    <row r="4" spans="1:6" ht="15.75" x14ac:dyDescent="0.25">
      <c r="A4" s="1" t="s">
        <v>518</v>
      </c>
      <c r="B4" s="1" t="s">
        <v>553</v>
      </c>
      <c r="C4" s="1" t="s">
        <v>7</v>
      </c>
      <c r="D4" s="1" t="s">
        <v>55</v>
      </c>
      <c r="E4" s="2">
        <v>7.5</v>
      </c>
      <c r="F4" s="1" t="s">
        <v>95</v>
      </c>
    </row>
    <row r="5" spans="1:6" ht="15.75" x14ac:dyDescent="0.25">
      <c r="A5" s="1" t="s">
        <v>461</v>
      </c>
      <c r="B5" s="1" t="s">
        <v>553</v>
      </c>
      <c r="C5" s="1" t="s">
        <v>11</v>
      </c>
      <c r="D5" s="1" t="s">
        <v>55</v>
      </c>
      <c r="E5" s="2"/>
    </row>
    <row r="6" spans="1:6" ht="15.75" x14ac:dyDescent="0.25">
      <c r="A6" s="1" t="s">
        <v>463</v>
      </c>
      <c r="B6" s="1" t="s">
        <v>553</v>
      </c>
      <c r="C6" s="1" t="s">
        <v>7</v>
      </c>
      <c r="D6" s="1" t="s">
        <v>13</v>
      </c>
      <c r="E6" s="2">
        <v>5</v>
      </c>
    </row>
    <row r="7" spans="1:6" ht="15.75" x14ac:dyDescent="0.25">
      <c r="A7" s="1" t="s">
        <v>555</v>
      </c>
      <c r="B7" s="1" t="s">
        <v>553</v>
      </c>
      <c r="C7" s="1" t="s">
        <v>11</v>
      </c>
      <c r="D7" s="1" t="s">
        <v>13</v>
      </c>
      <c r="E7" s="2"/>
    </row>
    <row r="8" spans="1:6" ht="15.75" x14ac:dyDescent="0.25">
      <c r="A8" s="1" t="s">
        <v>271</v>
      </c>
      <c r="B8" s="1" t="s">
        <v>553</v>
      </c>
      <c r="C8" s="1" t="s">
        <v>7</v>
      </c>
      <c r="D8" s="1" t="s">
        <v>13</v>
      </c>
      <c r="E8" s="2">
        <v>5</v>
      </c>
    </row>
    <row r="9" spans="1:6" ht="15.75" x14ac:dyDescent="0.25">
      <c r="A9" s="1" t="s">
        <v>105</v>
      </c>
      <c r="B9" s="1" t="s">
        <v>553</v>
      </c>
      <c r="C9" s="1" t="s">
        <v>11</v>
      </c>
      <c r="D9" s="1" t="s">
        <v>13</v>
      </c>
      <c r="E9" s="2"/>
    </row>
    <row r="10" spans="1:6" ht="15.75" x14ac:dyDescent="0.25">
      <c r="A10" s="1" t="s">
        <v>556</v>
      </c>
      <c r="B10" s="1" t="s">
        <v>553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306</v>
      </c>
      <c r="B11" s="1" t="s">
        <v>553</v>
      </c>
      <c r="C11" s="1" t="s">
        <v>11</v>
      </c>
      <c r="D11" s="1" t="s">
        <v>13</v>
      </c>
      <c r="E11" s="2"/>
    </row>
    <row r="12" spans="1:6" ht="15.75" x14ac:dyDescent="0.25">
      <c r="A12" s="1" t="s">
        <v>359</v>
      </c>
      <c r="B12" s="1" t="s">
        <v>553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428</v>
      </c>
      <c r="B13" s="1" t="s">
        <v>553</v>
      </c>
      <c r="C13" s="1" t="s">
        <v>11</v>
      </c>
      <c r="D13" s="1" t="s">
        <v>13</v>
      </c>
      <c r="E13" s="2"/>
    </row>
    <row r="14" spans="1:6" ht="15.75" x14ac:dyDescent="0.25">
      <c r="A14" s="1" t="s">
        <v>557</v>
      </c>
      <c r="B14" s="1" t="s">
        <v>553</v>
      </c>
      <c r="C14" s="1" t="s">
        <v>7</v>
      </c>
      <c r="D14" s="1" t="s">
        <v>13</v>
      </c>
      <c r="E14" s="2">
        <v>5</v>
      </c>
    </row>
    <row r="15" spans="1:6" ht="15.75" x14ac:dyDescent="0.25">
      <c r="A15" s="1" t="s">
        <v>558</v>
      </c>
      <c r="B15" s="1" t="s">
        <v>553</v>
      </c>
      <c r="C15" s="1" t="s">
        <v>11</v>
      </c>
      <c r="D15" s="1" t="s">
        <v>13</v>
      </c>
      <c r="E15" s="2"/>
    </row>
    <row r="16" spans="1:6" ht="15.75" x14ac:dyDescent="0.25">
      <c r="A16" s="1" t="s">
        <v>559</v>
      </c>
      <c r="B16" s="1" t="s">
        <v>553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25</v>
      </c>
      <c r="B17" s="1" t="s">
        <v>553</v>
      </c>
      <c r="C17" s="1" t="s">
        <v>11</v>
      </c>
      <c r="D17" s="1" t="s">
        <v>55</v>
      </c>
      <c r="E17" s="2"/>
    </row>
    <row r="18" spans="1:5" ht="15.75" x14ac:dyDescent="0.25">
      <c r="A18" s="1" t="s">
        <v>433</v>
      </c>
      <c r="B18" s="1" t="s">
        <v>553</v>
      </c>
      <c r="C18" s="1" t="s">
        <v>7</v>
      </c>
      <c r="D18" s="1" t="s">
        <v>13</v>
      </c>
      <c r="E18" s="2">
        <v>5</v>
      </c>
    </row>
    <row r="19" spans="1:5" ht="15.75" x14ac:dyDescent="0.25">
      <c r="A19" s="1" t="s">
        <v>27</v>
      </c>
      <c r="B19" s="1" t="s">
        <v>553</v>
      </c>
      <c r="C19" s="1" t="s">
        <v>11</v>
      </c>
      <c r="D19" s="1" t="s">
        <v>13</v>
      </c>
      <c r="E19" s="2"/>
    </row>
    <row r="20" spans="1:5" ht="15.75" x14ac:dyDescent="0.25">
      <c r="A20" s="1" t="s">
        <v>364</v>
      </c>
      <c r="B20" s="1" t="s">
        <v>553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560</v>
      </c>
      <c r="B21" s="1" t="s">
        <v>553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561</v>
      </c>
      <c r="B22" s="1" t="s">
        <v>553</v>
      </c>
      <c r="C22" s="1" t="s">
        <v>7</v>
      </c>
      <c r="D22" s="1" t="s">
        <v>13</v>
      </c>
      <c r="E22" s="2">
        <v>5</v>
      </c>
    </row>
    <row r="23" spans="1:5" ht="15.75" customHeight="1" x14ac:dyDescent="0.25">
      <c r="A23" s="1" t="s">
        <v>29</v>
      </c>
      <c r="B23" s="1" t="s">
        <v>553</v>
      </c>
      <c r="C23" s="1" t="s">
        <v>11</v>
      </c>
      <c r="D23" s="1" t="s">
        <v>13</v>
      </c>
      <c r="E23" s="2"/>
    </row>
    <row r="24" spans="1:5" ht="15.75" customHeight="1" x14ac:dyDescent="0.25">
      <c r="A24" s="1" t="s">
        <v>562</v>
      </c>
      <c r="B24" s="1" t="s">
        <v>553</v>
      </c>
      <c r="C24" s="1" t="s">
        <v>7</v>
      </c>
      <c r="D24" s="1" t="s">
        <v>13</v>
      </c>
      <c r="E24" s="2">
        <v>5</v>
      </c>
    </row>
    <row r="25" spans="1:5" ht="15.75" customHeight="1" x14ac:dyDescent="0.25">
      <c r="A25" s="1" t="s">
        <v>83</v>
      </c>
      <c r="B25" s="1" t="s">
        <v>553</v>
      </c>
      <c r="C25" s="1" t="s">
        <v>11</v>
      </c>
      <c r="D25" s="1" t="s">
        <v>13</v>
      </c>
      <c r="E25" s="2"/>
    </row>
    <row r="26" spans="1:5" ht="15.75" customHeight="1" x14ac:dyDescent="0.25">
      <c r="A26" s="1" t="s">
        <v>563</v>
      </c>
      <c r="B26" s="1" t="s">
        <v>553</v>
      </c>
      <c r="C26" s="1" t="s">
        <v>7</v>
      </c>
      <c r="D26" s="1" t="s">
        <v>13</v>
      </c>
      <c r="E26" s="2">
        <v>5</v>
      </c>
    </row>
    <row r="27" spans="1:5" ht="15.75" customHeight="1" x14ac:dyDescent="0.25">
      <c r="A27" s="1" t="s">
        <v>441</v>
      </c>
      <c r="B27" s="1" t="s">
        <v>553</v>
      </c>
      <c r="C27" s="1" t="s">
        <v>11</v>
      </c>
      <c r="D27" s="1" t="s">
        <v>13</v>
      </c>
      <c r="E27" s="2"/>
    </row>
    <row r="28" spans="1:5" ht="15.75" customHeight="1" x14ac:dyDescent="0.25">
      <c r="A28" s="1" t="s">
        <v>564</v>
      </c>
      <c r="B28" s="1" t="s">
        <v>553</v>
      </c>
      <c r="C28" s="1" t="s">
        <v>7</v>
      </c>
      <c r="D28" s="1" t="s">
        <v>13</v>
      </c>
      <c r="E28" s="2">
        <v>5</v>
      </c>
    </row>
    <row r="29" spans="1:5" ht="15.75" customHeight="1" x14ac:dyDescent="0.25">
      <c r="A29" s="1" t="s">
        <v>565</v>
      </c>
      <c r="B29" s="1" t="s">
        <v>553</v>
      </c>
      <c r="C29" s="1" t="s">
        <v>11</v>
      </c>
      <c r="D29" s="1" t="s">
        <v>13</v>
      </c>
      <c r="E29" s="2"/>
    </row>
    <row r="30" spans="1:5" ht="15.75" customHeight="1" x14ac:dyDescent="0.25">
      <c r="A30" s="1" t="s">
        <v>285</v>
      </c>
      <c r="B30" s="1" t="s">
        <v>553</v>
      </c>
      <c r="C30" s="1" t="s">
        <v>7</v>
      </c>
      <c r="D30" s="1" t="s">
        <v>13</v>
      </c>
      <c r="E30" s="2">
        <v>10</v>
      </c>
    </row>
    <row r="31" spans="1:5" ht="15.75" customHeight="1" x14ac:dyDescent="0.25">
      <c r="A31" s="1" t="s">
        <v>316</v>
      </c>
      <c r="B31" s="1" t="s">
        <v>553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566</v>
      </c>
      <c r="B32" s="1" t="s">
        <v>553</v>
      </c>
      <c r="C32" s="1" t="s">
        <v>7</v>
      </c>
      <c r="D32" s="1" t="s">
        <v>55</v>
      </c>
      <c r="E32" s="2">
        <v>6</v>
      </c>
    </row>
    <row r="33" spans="1:5" ht="15.75" customHeight="1" x14ac:dyDescent="0.25">
      <c r="A33" s="1" t="s">
        <v>320</v>
      </c>
      <c r="B33" s="1" t="s">
        <v>553</v>
      </c>
      <c r="C33" s="1" t="s">
        <v>11</v>
      </c>
      <c r="D33" s="1" t="s">
        <v>55</v>
      </c>
      <c r="E33" s="2"/>
    </row>
    <row r="34" spans="1:5" ht="15.75" customHeight="1" x14ac:dyDescent="0.25">
      <c r="A34" s="1" t="s">
        <v>567</v>
      </c>
      <c r="B34" s="1" t="s">
        <v>553</v>
      </c>
      <c r="C34" s="1" t="s">
        <v>7</v>
      </c>
      <c r="D34" s="1" t="s">
        <v>13</v>
      </c>
      <c r="E34" s="2">
        <v>5</v>
      </c>
    </row>
    <row r="35" spans="1:5" ht="15.75" customHeight="1" x14ac:dyDescent="0.25">
      <c r="A35" s="1" t="s">
        <v>568</v>
      </c>
      <c r="B35" s="1" t="s">
        <v>553</v>
      </c>
      <c r="C35" s="1" t="s">
        <v>11</v>
      </c>
      <c r="D35" s="1" t="s">
        <v>13</v>
      </c>
      <c r="E35" s="2"/>
    </row>
    <row r="36" spans="1:5" ht="15.75" customHeight="1" x14ac:dyDescent="0.25">
      <c r="A36" s="1" t="s">
        <v>569</v>
      </c>
      <c r="B36" s="1" t="s">
        <v>553</v>
      </c>
      <c r="C36" s="1" t="s">
        <v>7</v>
      </c>
      <c r="D36" s="1" t="s">
        <v>13</v>
      </c>
      <c r="E36" s="2">
        <v>5</v>
      </c>
    </row>
    <row r="37" spans="1:5" ht="15.75" customHeight="1" x14ac:dyDescent="0.25">
      <c r="A37" s="1" t="s">
        <v>250</v>
      </c>
      <c r="B37" s="1" t="s">
        <v>553</v>
      </c>
      <c r="C37" s="1" t="s">
        <v>11</v>
      </c>
      <c r="D37" s="1" t="s">
        <v>13</v>
      </c>
      <c r="E37" s="2"/>
    </row>
    <row r="38" spans="1:5" ht="15.75" customHeight="1" x14ac:dyDescent="0.25">
      <c r="A38" s="1" t="s">
        <v>570</v>
      </c>
      <c r="B38" s="1" t="s">
        <v>553</v>
      </c>
      <c r="C38" s="1" t="s">
        <v>7</v>
      </c>
      <c r="D38" s="1" t="s">
        <v>13</v>
      </c>
      <c r="E38" s="2">
        <v>5</v>
      </c>
    </row>
    <row r="39" spans="1:5" ht="15.75" customHeight="1" x14ac:dyDescent="0.25">
      <c r="A39" s="1" t="s">
        <v>571</v>
      </c>
      <c r="B39" s="1" t="s">
        <v>553</v>
      </c>
      <c r="C39" s="1" t="s">
        <v>11</v>
      </c>
      <c r="D39" s="1" t="s">
        <v>13</v>
      </c>
      <c r="E39" s="2"/>
    </row>
    <row r="40" spans="1:5" ht="15.75" customHeight="1" x14ac:dyDescent="0.25">
      <c r="A40" s="1" t="s">
        <v>572</v>
      </c>
      <c r="B40" s="1" t="s">
        <v>553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137</v>
      </c>
      <c r="B41" s="1" t="s">
        <v>553</v>
      </c>
      <c r="C41" s="1" t="s">
        <v>11</v>
      </c>
      <c r="D41" s="1" t="s">
        <v>13</v>
      </c>
      <c r="E41" s="2"/>
    </row>
    <row r="42" spans="1:5" ht="15.75" customHeight="1" x14ac:dyDescent="0.25">
      <c r="A42" s="1" t="s">
        <v>573</v>
      </c>
      <c r="B42" s="1" t="s">
        <v>553</v>
      </c>
      <c r="C42" s="1" t="s">
        <v>7</v>
      </c>
      <c r="D42" s="1" t="s">
        <v>13</v>
      </c>
      <c r="E42" s="2">
        <v>4.5</v>
      </c>
    </row>
    <row r="43" spans="1:5" ht="15.75" customHeight="1" x14ac:dyDescent="0.25">
      <c r="A43" s="1" t="s">
        <v>574</v>
      </c>
      <c r="B43" s="1" t="s">
        <v>553</v>
      </c>
      <c r="C43" s="1" t="s">
        <v>11</v>
      </c>
      <c r="D43" s="1" t="s">
        <v>13</v>
      </c>
      <c r="E43" s="2"/>
    </row>
    <row r="44" spans="1:5" ht="15.75" customHeight="1" x14ac:dyDescent="0.25">
      <c r="A44" s="1" t="s">
        <v>575</v>
      </c>
      <c r="B44" s="1" t="s">
        <v>553</v>
      </c>
      <c r="C44" s="1" t="s">
        <v>7</v>
      </c>
      <c r="D44" s="1" t="s">
        <v>13</v>
      </c>
      <c r="E44" s="2">
        <v>5</v>
      </c>
    </row>
    <row r="45" spans="1:5" ht="15.75" customHeight="1" x14ac:dyDescent="0.25">
      <c r="A45" s="1" t="s">
        <v>486</v>
      </c>
      <c r="B45" s="1" t="s">
        <v>553</v>
      </c>
      <c r="C45" s="1" t="s">
        <v>11</v>
      </c>
      <c r="D45" s="1" t="s">
        <v>13</v>
      </c>
      <c r="E45" s="2"/>
    </row>
    <row r="46" spans="1:5" ht="15.75" customHeight="1" x14ac:dyDescent="0.25">
      <c r="A46" s="1" t="s">
        <v>576</v>
      </c>
      <c r="B46" s="1" t="s">
        <v>553</v>
      </c>
      <c r="C46" s="1" t="s">
        <v>7</v>
      </c>
      <c r="D46" s="1" t="s">
        <v>13</v>
      </c>
      <c r="E46" s="2">
        <v>5</v>
      </c>
    </row>
    <row r="47" spans="1:5" ht="15.75" customHeight="1" x14ac:dyDescent="0.25">
      <c r="A47" s="1" t="s">
        <v>142</v>
      </c>
      <c r="B47" s="1" t="s">
        <v>553</v>
      </c>
      <c r="C47" s="1" t="s">
        <v>11</v>
      </c>
      <c r="D47" s="1" t="s">
        <v>13</v>
      </c>
      <c r="E47" s="2"/>
    </row>
    <row r="48" spans="1:5" ht="15.75" customHeight="1" x14ac:dyDescent="0.25">
      <c r="A48" s="1" t="s">
        <v>577</v>
      </c>
      <c r="B48" s="1" t="s">
        <v>553</v>
      </c>
      <c r="C48" s="1" t="s">
        <v>7</v>
      </c>
      <c r="D48" s="1" t="s">
        <v>13</v>
      </c>
      <c r="E48" s="2">
        <v>10</v>
      </c>
    </row>
    <row r="49" spans="1:5" ht="15.75" customHeight="1" x14ac:dyDescent="0.25">
      <c r="A49" s="1" t="s">
        <v>578</v>
      </c>
      <c r="B49" s="1" t="s">
        <v>553</v>
      </c>
      <c r="C49" s="1" t="s">
        <v>11</v>
      </c>
      <c r="D49" s="1" t="s">
        <v>13</v>
      </c>
      <c r="E49" s="2"/>
    </row>
    <row r="50" spans="1:5" ht="15.75" customHeight="1" x14ac:dyDescent="0.25">
      <c r="D50" s="1" t="s">
        <v>61</v>
      </c>
      <c r="E50" s="3">
        <f>SUM(E2:E49)</f>
        <v>135.5</v>
      </c>
    </row>
    <row r="51" spans="1:5" ht="15.75" customHeight="1" x14ac:dyDescent="0.25">
      <c r="D51" s="1" t="s">
        <v>62</v>
      </c>
      <c r="E51" s="2">
        <v>15000</v>
      </c>
    </row>
    <row r="52" spans="1:5" ht="15.75" customHeight="1" x14ac:dyDescent="0.25">
      <c r="D52" s="1" t="s">
        <v>63</v>
      </c>
      <c r="E52" s="1">
        <f>E50*E51</f>
        <v>2032500</v>
      </c>
    </row>
    <row r="53" spans="1:5" ht="15.75" customHeight="1" x14ac:dyDescent="0.25">
      <c r="D53" s="1" t="s">
        <v>64</v>
      </c>
      <c r="E53" s="2">
        <v>0</v>
      </c>
    </row>
    <row r="54" spans="1:5" ht="15.75" customHeight="1" x14ac:dyDescent="0.25">
      <c r="D54" s="1" t="s">
        <v>65</v>
      </c>
      <c r="E54" s="2">
        <v>0</v>
      </c>
    </row>
    <row r="55" spans="1:5" ht="15.75" customHeight="1" x14ac:dyDescent="0.25">
      <c r="D55" s="1" t="s">
        <v>66</v>
      </c>
      <c r="E55" s="2">
        <v>0</v>
      </c>
    </row>
    <row r="56" spans="1:5" ht="15.75" customHeight="1" x14ac:dyDescent="0.25">
      <c r="D56" s="1" t="s">
        <v>67</v>
      </c>
      <c r="E56" s="2">
        <v>0</v>
      </c>
    </row>
    <row r="57" spans="1:5" ht="15.75" customHeight="1" x14ac:dyDescent="0.25">
      <c r="D57" s="1" t="s">
        <v>68</v>
      </c>
      <c r="E57" s="2">
        <v>0</v>
      </c>
    </row>
    <row r="58" spans="1:5" ht="15.75" customHeight="1" x14ac:dyDescent="0.25">
      <c r="D58" s="1" t="s">
        <v>69</v>
      </c>
      <c r="E58" s="3">
        <f>E52 - SUM(E53:E57)</f>
        <v>2032500</v>
      </c>
    </row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579</v>
      </c>
      <c r="B2" s="1" t="s">
        <v>580</v>
      </c>
      <c r="C2" s="1" t="s">
        <v>7</v>
      </c>
      <c r="D2" s="1" t="s">
        <v>8</v>
      </c>
      <c r="E2" s="2">
        <v>7.5</v>
      </c>
      <c r="F2" s="1" t="s">
        <v>149</v>
      </c>
    </row>
    <row r="3" spans="1:6" ht="15.75" x14ac:dyDescent="0.25">
      <c r="A3" s="1" t="s">
        <v>99</v>
      </c>
      <c r="B3" s="1" t="s">
        <v>580</v>
      </c>
      <c r="C3" s="1" t="s">
        <v>11</v>
      </c>
      <c r="D3" s="1" t="s">
        <v>8</v>
      </c>
      <c r="E3" s="2"/>
    </row>
    <row r="4" spans="1:6" ht="15.75" x14ac:dyDescent="0.25">
      <c r="A4" s="1" t="s">
        <v>176</v>
      </c>
      <c r="B4" s="1" t="s">
        <v>580</v>
      </c>
      <c r="C4" s="1" t="s">
        <v>7</v>
      </c>
      <c r="D4" s="1" t="s">
        <v>8</v>
      </c>
      <c r="E4" s="2">
        <v>10</v>
      </c>
    </row>
    <row r="5" spans="1:6" ht="15.75" x14ac:dyDescent="0.25">
      <c r="A5" s="1" t="s">
        <v>581</v>
      </c>
      <c r="B5" s="1" t="s">
        <v>580</v>
      </c>
      <c r="C5" s="1" t="s">
        <v>11</v>
      </c>
      <c r="D5" s="1" t="s">
        <v>8</v>
      </c>
      <c r="E5" s="2"/>
    </row>
    <row r="6" spans="1:6" ht="15.75" x14ac:dyDescent="0.25">
      <c r="A6" s="1" t="s">
        <v>582</v>
      </c>
      <c r="B6" s="1" t="s">
        <v>580</v>
      </c>
      <c r="C6" s="1" t="s">
        <v>7</v>
      </c>
      <c r="D6" s="1" t="s">
        <v>13</v>
      </c>
      <c r="E6" s="2">
        <v>5</v>
      </c>
    </row>
    <row r="7" spans="1:6" ht="15.75" x14ac:dyDescent="0.25">
      <c r="A7" s="1" t="s">
        <v>583</v>
      </c>
      <c r="B7" s="1" t="s">
        <v>580</v>
      </c>
      <c r="C7" s="1" t="s">
        <v>11</v>
      </c>
      <c r="D7" s="1" t="s">
        <v>13</v>
      </c>
      <c r="E7" s="2"/>
    </row>
    <row r="8" spans="1:6" ht="15.75" x14ac:dyDescent="0.25">
      <c r="A8" s="1" t="s">
        <v>33</v>
      </c>
      <c r="B8" s="1" t="s">
        <v>580</v>
      </c>
      <c r="C8" s="1" t="s">
        <v>7</v>
      </c>
      <c r="D8" s="1" t="s">
        <v>13</v>
      </c>
      <c r="E8" s="2">
        <v>5</v>
      </c>
    </row>
    <row r="9" spans="1:6" ht="15.75" x14ac:dyDescent="0.25">
      <c r="A9" s="1" t="s">
        <v>584</v>
      </c>
      <c r="B9" s="1" t="s">
        <v>580</v>
      </c>
      <c r="C9" s="1" t="s">
        <v>11</v>
      </c>
      <c r="D9" s="1" t="s">
        <v>13</v>
      </c>
      <c r="E9" s="2"/>
    </row>
    <row r="10" spans="1:6" ht="15.75" x14ac:dyDescent="0.25">
      <c r="A10" s="1" t="s">
        <v>185</v>
      </c>
      <c r="B10" s="1" t="s">
        <v>580</v>
      </c>
      <c r="C10" s="1" t="s">
        <v>7</v>
      </c>
      <c r="D10" s="1" t="s">
        <v>8</v>
      </c>
      <c r="E10" s="2">
        <v>5</v>
      </c>
    </row>
    <row r="11" spans="1:6" ht="15.75" x14ac:dyDescent="0.25">
      <c r="A11" s="1" t="s">
        <v>585</v>
      </c>
      <c r="B11" s="1" t="s">
        <v>580</v>
      </c>
      <c r="C11" s="1" t="s">
        <v>11</v>
      </c>
      <c r="D11" s="1" t="s">
        <v>8</v>
      </c>
      <c r="E11" s="2"/>
    </row>
    <row r="12" spans="1:6" ht="15.75" x14ac:dyDescent="0.25">
      <c r="A12" s="1" t="s">
        <v>586</v>
      </c>
      <c r="B12" s="1" t="s">
        <v>580</v>
      </c>
      <c r="C12" s="1" t="s">
        <v>7</v>
      </c>
      <c r="D12" s="1" t="s">
        <v>13</v>
      </c>
      <c r="E12" s="2">
        <v>5</v>
      </c>
    </row>
    <row r="13" spans="1:6" ht="15.75" x14ac:dyDescent="0.25">
      <c r="A13" s="1" t="s">
        <v>587</v>
      </c>
      <c r="B13" s="1" t="s">
        <v>580</v>
      </c>
      <c r="C13" s="1" t="s">
        <v>11</v>
      </c>
      <c r="D13" s="1" t="s">
        <v>13</v>
      </c>
      <c r="E13" s="2"/>
    </row>
    <row r="14" spans="1:6" ht="15.75" x14ac:dyDescent="0.25">
      <c r="A14" s="1" t="s">
        <v>198</v>
      </c>
      <c r="B14" s="1" t="s">
        <v>580</v>
      </c>
      <c r="C14" s="1" t="s">
        <v>7</v>
      </c>
      <c r="D14" s="1" t="s">
        <v>55</v>
      </c>
      <c r="E14" s="2">
        <v>5</v>
      </c>
    </row>
    <row r="15" spans="1:6" ht="15.75" x14ac:dyDescent="0.25">
      <c r="A15" s="1" t="s">
        <v>588</v>
      </c>
      <c r="B15" s="1" t="s">
        <v>580</v>
      </c>
      <c r="C15" s="1" t="s">
        <v>11</v>
      </c>
      <c r="D15" s="1" t="s">
        <v>55</v>
      </c>
      <c r="E15" s="2"/>
    </row>
    <row r="16" spans="1:6" ht="15.75" x14ac:dyDescent="0.25">
      <c r="D16" s="1" t="s">
        <v>61</v>
      </c>
      <c r="E16" s="3">
        <f>SUM(E2:E15)</f>
        <v>42.5</v>
      </c>
    </row>
    <row r="17" spans="4:5" ht="15.75" x14ac:dyDescent="0.25">
      <c r="D17" s="1" t="s">
        <v>62</v>
      </c>
      <c r="E17" s="2">
        <v>15000</v>
      </c>
    </row>
    <row r="18" spans="4:5" ht="15.75" x14ac:dyDescent="0.25">
      <c r="D18" s="1" t="s">
        <v>63</v>
      </c>
      <c r="E18" s="1">
        <f>E16*E17</f>
        <v>637500</v>
      </c>
    </row>
    <row r="19" spans="4:5" ht="15.75" x14ac:dyDescent="0.25">
      <c r="D19" s="1" t="s">
        <v>64</v>
      </c>
      <c r="E19" s="2">
        <v>1625000</v>
      </c>
    </row>
    <row r="20" spans="4:5" ht="15.75" x14ac:dyDescent="0.25">
      <c r="D20" s="1" t="s">
        <v>65</v>
      </c>
      <c r="E20" s="2">
        <v>0</v>
      </c>
    </row>
    <row r="21" spans="4:5" ht="15.75" customHeight="1" x14ac:dyDescent="0.25">
      <c r="D21" s="1" t="s">
        <v>66</v>
      </c>
      <c r="E21" s="2">
        <v>0</v>
      </c>
    </row>
    <row r="22" spans="4:5" ht="15.75" customHeight="1" x14ac:dyDescent="0.25">
      <c r="D22" s="1" t="s">
        <v>67</v>
      </c>
      <c r="E22" s="2">
        <v>0</v>
      </c>
    </row>
    <row r="23" spans="4:5" ht="15.75" customHeight="1" x14ac:dyDescent="0.25">
      <c r="D23" s="1" t="s">
        <v>68</v>
      </c>
      <c r="E23" s="2">
        <v>0</v>
      </c>
    </row>
    <row r="24" spans="4:5" ht="15.75" customHeight="1" x14ac:dyDescent="0.25">
      <c r="D24" s="1" t="s">
        <v>69</v>
      </c>
      <c r="E24" s="3">
        <f>E18 - SUM(E19:E23)</f>
        <v>-987500</v>
      </c>
    </row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589</v>
      </c>
      <c r="B2" s="1" t="s">
        <v>590</v>
      </c>
      <c r="C2" s="1" t="s">
        <v>7</v>
      </c>
      <c r="D2" s="1" t="s">
        <v>13</v>
      </c>
      <c r="E2" s="2">
        <v>7.5</v>
      </c>
      <c r="F2" s="1" t="s">
        <v>149</v>
      </c>
    </row>
    <row r="3" spans="1:6" ht="15.75" x14ac:dyDescent="0.25">
      <c r="A3" s="1" t="s">
        <v>518</v>
      </c>
      <c r="B3" s="1" t="s">
        <v>590</v>
      </c>
      <c r="C3" s="1" t="s">
        <v>11</v>
      </c>
      <c r="D3" s="1" t="s">
        <v>13</v>
      </c>
      <c r="E3" s="2"/>
    </row>
    <row r="4" spans="1:6" ht="15.75" x14ac:dyDescent="0.25">
      <c r="A4" s="1" t="s">
        <v>591</v>
      </c>
      <c r="B4" s="1" t="s">
        <v>590</v>
      </c>
      <c r="C4" s="1" t="s">
        <v>7</v>
      </c>
      <c r="D4" s="1" t="s">
        <v>55</v>
      </c>
      <c r="E4" s="2">
        <v>5</v>
      </c>
    </row>
    <row r="5" spans="1:6" ht="15.75" x14ac:dyDescent="0.25">
      <c r="A5" s="1" t="s">
        <v>17</v>
      </c>
      <c r="B5" s="1" t="s">
        <v>590</v>
      </c>
      <c r="C5" s="1" t="s">
        <v>11</v>
      </c>
      <c r="D5" s="1" t="s">
        <v>55</v>
      </c>
      <c r="E5" s="2"/>
    </row>
    <row r="6" spans="1:6" ht="15.75" x14ac:dyDescent="0.25">
      <c r="A6" s="1" t="s">
        <v>592</v>
      </c>
      <c r="B6" s="1" t="s">
        <v>590</v>
      </c>
      <c r="C6" s="1" t="s">
        <v>7</v>
      </c>
      <c r="D6" s="1" t="s">
        <v>13</v>
      </c>
      <c r="E6" s="2">
        <v>5</v>
      </c>
    </row>
    <row r="7" spans="1:6" ht="15.75" x14ac:dyDescent="0.25">
      <c r="A7" s="1" t="s">
        <v>232</v>
      </c>
      <c r="B7" s="1" t="s">
        <v>590</v>
      </c>
      <c r="C7" s="1" t="s">
        <v>11</v>
      </c>
      <c r="D7" s="1" t="s">
        <v>13</v>
      </c>
      <c r="E7" s="2"/>
    </row>
    <row r="8" spans="1:6" ht="15.75" x14ac:dyDescent="0.25">
      <c r="A8" s="1" t="s">
        <v>593</v>
      </c>
      <c r="B8" s="1" t="s">
        <v>590</v>
      </c>
      <c r="C8" s="1" t="s">
        <v>7</v>
      </c>
      <c r="D8" s="1" t="s">
        <v>13</v>
      </c>
      <c r="E8" s="2">
        <v>5</v>
      </c>
    </row>
    <row r="9" spans="1:6" ht="15.75" x14ac:dyDescent="0.25">
      <c r="A9" s="1" t="s">
        <v>594</v>
      </c>
      <c r="B9" s="1" t="s">
        <v>590</v>
      </c>
      <c r="C9" s="1" t="s">
        <v>11</v>
      </c>
      <c r="D9" s="1" t="s">
        <v>13</v>
      </c>
      <c r="E9" s="2"/>
    </row>
    <row r="10" spans="1:6" ht="15.75" x14ac:dyDescent="0.25">
      <c r="A10" s="1" t="s">
        <v>495</v>
      </c>
      <c r="B10" s="1" t="s">
        <v>590</v>
      </c>
      <c r="C10" s="1" t="s">
        <v>7</v>
      </c>
      <c r="D10" s="1" t="s">
        <v>13</v>
      </c>
      <c r="E10" s="2">
        <v>5</v>
      </c>
    </row>
    <row r="11" spans="1:6" ht="15.75" x14ac:dyDescent="0.25">
      <c r="A11" s="1" t="s">
        <v>236</v>
      </c>
      <c r="B11" s="1" t="s">
        <v>590</v>
      </c>
      <c r="C11" s="1" t="s">
        <v>11</v>
      </c>
      <c r="D11" s="1" t="s">
        <v>13</v>
      </c>
      <c r="E11" s="2"/>
    </row>
    <row r="12" spans="1:6" ht="15.75" x14ac:dyDescent="0.25">
      <c r="A12" s="1" t="s">
        <v>595</v>
      </c>
      <c r="B12" s="1" t="s">
        <v>590</v>
      </c>
      <c r="C12" s="1" t="s">
        <v>7</v>
      </c>
      <c r="D12" s="1" t="s">
        <v>55</v>
      </c>
      <c r="E12" s="2">
        <v>5</v>
      </c>
    </row>
    <row r="13" spans="1:6" ht="15.75" x14ac:dyDescent="0.25">
      <c r="A13" s="1" t="s">
        <v>596</v>
      </c>
      <c r="B13" s="1" t="s">
        <v>590</v>
      </c>
      <c r="C13" s="1" t="s">
        <v>11</v>
      </c>
      <c r="D13" s="1" t="s">
        <v>55</v>
      </c>
      <c r="E13" s="2"/>
    </row>
    <row r="14" spans="1:6" ht="15.75" x14ac:dyDescent="0.25">
      <c r="A14" s="1" t="s">
        <v>212</v>
      </c>
      <c r="B14" s="1" t="s">
        <v>590</v>
      </c>
      <c r="C14" s="1" t="s">
        <v>7</v>
      </c>
      <c r="D14" s="1" t="s">
        <v>13</v>
      </c>
      <c r="E14" s="2">
        <v>10</v>
      </c>
    </row>
    <row r="15" spans="1:6" ht="15.75" x14ac:dyDescent="0.25">
      <c r="A15" s="1" t="s">
        <v>597</v>
      </c>
      <c r="B15" s="1" t="s">
        <v>590</v>
      </c>
      <c r="C15" s="1" t="s">
        <v>11</v>
      </c>
      <c r="D15" s="1" t="s">
        <v>13</v>
      </c>
      <c r="E15" s="2"/>
    </row>
    <row r="16" spans="1:6" ht="15.75" x14ac:dyDescent="0.25">
      <c r="A16" s="1" t="s">
        <v>598</v>
      </c>
      <c r="B16" s="1" t="s">
        <v>590</v>
      </c>
      <c r="C16" s="1" t="s">
        <v>7</v>
      </c>
      <c r="D16" s="1" t="s">
        <v>13</v>
      </c>
      <c r="E16" s="2">
        <v>5</v>
      </c>
    </row>
    <row r="17" spans="1:5" ht="15.75" x14ac:dyDescent="0.25">
      <c r="A17" s="1" t="s">
        <v>437</v>
      </c>
      <c r="B17" s="1" t="s">
        <v>590</v>
      </c>
      <c r="C17" s="1" t="s">
        <v>11</v>
      </c>
      <c r="D17" s="1" t="s">
        <v>13</v>
      </c>
      <c r="E17" s="2"/>
    </row>
    <row r="18" spans="1:5" ht="15.75" x14ac:dyDescent="0.25">
      <c r="A18" s="1" t="s">
        <v>261</v>
      </c>
      <c r="B18" s="1" t="s">
        <v>590</v>
      </c>
      <c r="C18" s="1" t="s">
        <v>7</v>
      </c>
      <c r="D18" s="1" t="s">
        <v>13</v>
      </c>
      <c r="E18" s="2">
        <v>10</v>
      </c>
    </row>
    <row r="19" spans="1:5" ht="15.75" x14ac:dyDescent="0.25">
      <c r="A19" s="1" t="s">
        <v>599</v>
      </c>
      <c r="B19" s="1" t="s">
        <v>590</v>
      </c>
      <c r="C19" s="1" t="s">
        <v>11</v>
      </c>
      <c r="D19" s="1" t="s">
        <v>13</v>
      </c>
      <c r="E19" s="2"/>
    </row>
    <row r="20" spans="1:5" ht="15.75" x14ac:dyDescent="0.25">
      <c r="A20" s="1" t="s">
        <v>600</v>
      </c>
      <c r="B20" s="1" t="s">
        <v>590</v>
      </c>
      <c r="C20" s="1" t="s">
        <v>7</v>
      </c>
      <c r="D20" s="1" t="s">
        <v>13</v>
      </c>
      <c r="E20" s="2">
        <v>5</v>
      </c>
    </row>
    <row r="21" spans="1:5" ht="15.75" customHeight="1" x14ac:dyDescent="0.25">
      <c r="A21" s="1" t="s">
        <v>189</v>
      </c>
      <c r="B21" s="1" t="s">
        <v>590</v>
      </c>
      <c r="C21" s="1" t="s">
        <v>11</v>
      </c>
      <c r="D21" s="1" t="s">
        <v>13</v>
      </c>
      <c r="E21" s="2"/>
    </row>
    <row r="22" spans="1:5" ht="15.75" customHeight="1" x14ac:dyDescent="0.25">
      <c r="A22" s="1" t="s">
        <v>601</v>
      </c>
      <c r="B22" s="1" t="s">
        <v>590</v>
      </c>
      <c r="C22" s="1" t="s">
        <v>7</v>
      </c>
      <c r="D22" s="1" t="s">
        <v>13</v>
      </c>
      <c r="E22" s="2">
        <v>5</v>
      </c>
    </row>
    <row r="23" spans="1:5" ht="15.75" customHeight="1" x14ac:dyDescent="0.25">
      <c r="A23" s="1" t="s">
        <v>289</v>
      </c>
      <c r="B23" s="1" t="s">
        <v>590</v>
      </c>
      <c r="C23" s="1" t="s">
        <v>11</v>
      </c>
      <c r="D23" s="1" t="s">
        <v>13</v>
      </c>
      <c r="E23" s="2"/>
    </row>
    <row r="24" spans="1:5" ht="15.75" customHeight="1" x14ac:dyDescent="0.25">
      <c r="A24" s="1" t="s">
        <v>602</v>
      </c>
      <c r="B24" s="1" t="s">
        <v>590</v>
      </c>
      <c r="C24" s="1" t="s">
        <v>7</v>
      </c>
      <c r="D24" s="1" t="s">
        <v>13</v>
      </c>
      <c r="E24" s="2">
        <v>5</v>
      </c>
    </row>
    <row r="25" spans="1:5" ht="15.75" customHeight="1" x14ac:dyDescent="0.25">
      <c r="A25" s="1" t="s">
        <v>220</v>
      </c>
      <c r="B25" s="1" t="s">
        <v>590</v>
      </c>
      <c r="C25" s="1" t="s">
        <v>11</v>
      </c>
      <c r="D25" s="1" t="s">
        <v>13</v>
      </c>
      <c r="E25" s="2"/>
    </row>
    <row r="26" spans="1:5" ht="15.75" customHeight="1" x14ac:dyDescent="0.25">
      <c r="A26" s="1" t="s">
        <v>324</v>
      </c>
      <c r="B26" s="1" t="s">
        <v>590</v>
      </c>
      <c r="C26" s="1" t="s">
        <v>7</v>
      </c>
      <c r="D26" s="1" t="s">
        <v>13</v>
      </c>
      <c r="E26" s="2">
        <v>5</v>
      </c>
    </row>
    <row r="27" spans="1:5" ht="15.75" customHeight="1" x14ac:dyDescent="0.25">
      <c r="A27" s="1" t="s">
        <v>207</v>
      </c>
      <c r="E27" s="2"/>
    </row>
    <row r="28" spans="1:5" ht="15.75" customHeight="1" x14ac:dyDescent="0.25">
      <c r="A28" s="1" t="s">
        <v>603</v>
      </c>
      <c r="B28" s="1" t="s">
        <v>590</v>
      </c>
      <c r="C28" s="1" t="s">
        <v>7</v>
      </c>
      <c r="D28" s="1" t="s">
        <v>97</v>
      </c>
      <c r="E28" s="2">
        <v>5</v>
      </c>
    </row>
    <row r="29" spans="1:5" ht="15.75" customHeight="1" x14ac:dyDescent="0.25">
      <c r="A29" s="1" t="s">
        <v>89</v>
      </c>
      <c r="B29" s="1" t="s">
        <v>590</v>
      </c>
      <c r="C29" s="1" t="s">
        <v>11</v>
      </c>
      <c r="D29" s="1" t="s">
        <v>97</v>
      </c>
      <c r="E29" s="2"/>
    </row>
    <row r="30" spans="1:5" ht="15.75" customHeight="1" x14ac:dyDescent="0.25">
      <c r="A30" s="1" t="s">
        <v>50</v>
      </c>
      <c r="B30" s="1" t="s">
        <v>590</v>
      </c>
      <c r="C30" s="1" t="s">
        <v>7</v>
      </c>
      <c r="D30" s="1" t="s">
        <v>55</v>
      </c>
      <c r="E30" s="2">
        <v>5</v>
      </c>
    </row>
    <row r="31" spans="1:5" ht="15.75" customHeight="1" x14ac:dyDescent="0.25">
      <c r="A31" s="1" t="s">
        <v>51</v>
      </c>
      <c r="B31" s="1" t="s">
        <v>590</v>
      </c>
      <c r="C31" s="1" t="s">
        <v>11</v>
      </c>
      <c r="D31" s="1" t="s">
        <v>55</v>
      </c>
      <c r="E31" s="2"/>
    </row>
    <row r="32" spans="1:5" ht="15.75" customHeight="1" x14ac:dyDescent="0.25">
      <c r="A32" s="1" t="s">
        <v>604</v>
      </c>
      <c r="B32" s="1" t="s">
        <v>590</v>
      </c>
      <c r="C32" s="1" t="s">
        <v>7</v>
      </c>
      <c r="D32" s="1" t="s">
        <v>13</v>
      </c>
      <c r="E32" s="2">
        <v>5</v>
      </c>
    </row>
    <row r="33" spans="1:5" ht="15.75" customHeight="1" x14ac:dyDescent="0.25">
      <c r="A33" s="1" t="s">
        <v>224</v>
      </c>
      <c r="B33" s="1" t="s">
        <v>590</v>
      </c>
      <c r="C33" s="1" t="s">
        <v>11</v>
      </c>
      <c r="D33" s="1" t="s">
        <v>13</v>
      </c>
      <c r="E33" s="2"/>
    </row>
    <row r="34" spans="1:5" ht="15.75" customHeight="1" x14ac:dyDescent="0.25">
      <c r="A34" s="1" t="s">
        <v>605</v>
      </c>
      <c r="B34" s="1" t="s">
        <v>590</v>
      </c>
      <c r="C34" s="1" t="s">
        <v>7</v>
      </c>
      <c r="D34" s="1" t="s">
        <v>55</v>
      </c>
      <c r="E34" s="2">
        <v>5</v>
      </c>
    </row>
    <row r="35" spans="1:5" ht="15.75" customHeight="1" x14ac:dyDescent="0.25">
      <c r="A35" s="1" t="s">
        <v>199</v>
      </c>
      <c r="B35" s="1" t="s">
        <v>590</v>
      </c>
      <c r="C35" s="1" t="s">
        <v>11</v>
      </c>
      <c r="D35" s="1" t="s">
        <v>55</v>
      </c>
      <c r="E35" s="2"/>
    </row>
    <row r="36" spans="1:5" ht="15.75" customHeight="1" x14ac:dyDescent="0.25">
      <c r="A36" s="1" t="s">
        <v>606</v>
      </c>
      <c r="B36" s="1" t="s">
        <v>590</v>
      </c>
      <c r="C36" s="1" t="s">
        <v>7</v>
      </c>
      <c r="D36" s="1" t="s">
        <v>13</v>
      </c>
      <c r="E36" s="2">
        <v>5</v>
      </c>
    </row>
    <row r="37" spans="1:5" ht="15.75" customHeight="1" x14ac:dyDescent="0.25">
      <c r="A37" s="1" t="s">
        <v>607</v>
      </c>
      <c r="B37" s="1" t="s">
        <v>590</v>
      </c>
      <c r="C37" s="1" t="s">
        <v>11</v>
      </c>
      <c r="D37" s="1" t="s">
        <v>13</v>
      </c>
      <c r="E37" s="2"/>
    </row>
    <row r="38" spans="1:5" ht="15.75" customHeight="1" x14ac:dyDescent="0.25">
      <c r="D38" s="1" t="s">
        <v>61</v>
      </c>
      <c r="E38" s="3">
        <f>SUM(E2:E37)</f>
        <v>102.5</v>
      </c>
    </row>
    <row r="39" spans="1:5" ht="15.75" customHeight="1" x14ac:dyDescent="0.25">
      <c r="D39" s="1" t="s">
        <v>62</v>
      </c>
      <c r="E39" s="2">
        <v>17000</v>
      </c>
    </row>
    <row r="40" spans="1:5" ht="15.75" customHeight="1" x14ac:dyDescent="0.25">
      <c r="D40" s="1" t="s">
        <v>63</v>
      </c>
      <c r="E40" s="1">
        <f>E38*E39</f>
        <v>1742500</v>
      </c>
    </row>
    <row r="41" spans="1:5" ht="15.75" customHeight="1" x14ac:dyDescent="0.25">
      <c r="D41" s="1" t="s">
        <v>64</v>
      </c>
      <c r="E41" s="2">
        <v>0</v>
      </c>
    </row>
    <row r="42" spans="1:5" ht="15.75" customHeight="1" x14ac:dyDescent="0.25">
      <c r="D42" s="1" t="s">
        <v>65</v>
      </c>
      <c r="E42" s="2">
        <v>0</v>
      </c>
    </row>
    <row r="43" spans="1:5" ht="15.75" customHeight="1" x14ac:dyDescent="0.25">
      <c r="D43" s="1" t="s">
        <v>66</v>
      </c>
      <c r="E43" s="2">
        <v>0</v>
      </c>
    </row>
    <row r="44" spans="1:5" ht="15.75" customHeight="1" x14ac:dyDescent="0.25">
      <c r="D44" s="1" t="s">
        <v>67</v>
      </c>
      <c r="E44" s="2">
        <v>0</v>
      </c>
    </row>
    <row r="45" spans="1:5" ht="15.75" customHeight="1" x14ac:dyDescent="0.25">
      <c r="D45" s="1" t="s">
        <v>68</v>
      </c>
      <c r="E45" s="2">
        <v>0</v>
      </c>
    </row>
    <row r="46" spans="1:5" ht="15.75" customHeight="1" x14ac:dyDescent="0.25">
      <c r="D46" s="1" t="s">
        <v>69</v>
      </c>
      <c r="E46" s="3">
        <f>E40 - SUM(E41:E45)</f>
        <v>1742500</v>
      </c>
    </row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608</v>
      </c>
      <c r="B2" s="1" t="s">
        <v>609</v>
      </c>
      <c r="C2" s="1" t="s">
        <v>7</v>
      </c>
      <c r="D2" s="1" t="s">
        <v>97</v>
      </c>
      <c r="E2" s="2">
        <v>7.5</v>
      </c>
      <c r="F2" s="1" t="s">
        <v>149</v>
      </c>
    </row>
    <row r="3" spans="1:6" ht="15.75" x14ac:dyDescent="0.25">
      <c r="A3" s="1" t="s">
        <v>610</v>
      </c>
      <c r="B3" s="1" t="s">
        <v>609</v>
      </c>
      <c r="C3" s="1" t="s">
        <v>11</v>
      </c>
      <c r="D3" s="1" t="s">
        <v>97</v>
      </c>
      <c r="E3" s="2"/>
    </row>
    <row r="4" spans="1:6" ht="15.75" x14ac:dyDescent="0.25">
      <c r="A4" s="1" t="s">
        <v>556</v>
      </c>
      <c r="B4" s="1" t="s">
        <v>609</v>
      </c>
      <c r="C4" s="1" t="s">
        <v>7</v>
      </c>
      <c r="D4" s="1" t="s">
        <v>97</v>
      </c>
      <c r="E4" s="2">
        <v>5</v>
      </c>
    </row>
    <row r="5" spans="1:6" ht="15.75" x14ac:dyDescent="0.25">
      <c r="A5" s="1" t="s">
        <v>611</v>
      </c>
      <c r="B5" s="1" t="s">
        <v>609</v>
      </c>
      <c r="C5" s="1" t="s">
        <v>11</v>
      </c>
      <c r="D5" s="1" t="s">
        <v>97</v>
      </c>
      <c r="E5" s="2"/>
    </row>
    <row r="6" spans="1:6" ht="15.75" x14ac:dyDescent="0.25">
      <c r="A6" s="1" t="s">
        <v>175</v>
      </c>
      <c r="B6" s="1" t="s">
        <v>609</v>
      </c>
      <c r="C6" s="1" t="s">
        <v>7</v>
      </c>
      <c r="D6" s="1" t="s">
        <v>97</v>
      </c>
      <c r="E6" s="2">
        <v>5</v>
      </c>
    </row>
    <row r="7" spans="1:6" ht="15.75" x14ac:dyDescent="0.25">
      <c r="A7" s="1" t="s">
        <v>612</v>
      </c>
      <c r="B7" s="1" t="s">
        <v>609</v>
      </c>
      <c r="C7" s="1" t="s">
        <v>11</v>
      </c>
      <c r="D7" s="1" t="s">
        <v>97</v>
      </c>
      <c r="E7" s="2"/>
    </row>
    <row r="8" spans="1:6" ht="15.75" x14ac:dyDescent="0.25">
      <c r="A8" s="1" t="s">
        <v>596</v>
      </c>
      <c r="B8" s="1" t="s">
        <v>609</v>
      </c>
      <c r="C8" s="1" t="s">
        <v>7</v>
      </c>
      <c r="D8" s="1" t="s">
        <v>97</v>
      </c>
      <c r="E8" s="2">
        <v>5</v>
      </c>
    </row>
    <row r="9" spans="1:6" ht="15.75" x14ac:dyDescent="0.25">
      <c r="A9" s="1" t="s">
        <v>613</v>
      </c>
      <c r="B9" s="1" t="s">
        <v>609</v>
      </c>
      <c r="C9" s="1" t="s">
        <v>11</v>
      </c>
      <c r="D9" s="1" t="s">
        <v>97</v>
      </c>
      <c r="E9" s="2"/>
    </row>
    <row r="10" spans="1:6" ht="15.75" x14ac:dyDescent="0.25">
      <c r="A10" s="1" t="s">
        <v>614</v>
      </c>
      <c r="B10" s="1" t="s">
        <v>609</v>
      </c>
      <c r="C10" s="1" t="s">
        <v>7</v>
      </c>
      <c r="D10" s="1" t="s">
        <v>97</v>
      </c>
      <c r="E10" s="2">
        <v>5</v>
      </c>
    </row>
    <row r="11" spans="1:6" ht="15.75" x14ac:dyDescent="0.25">
      <c r="A11" s="1" t="s">
        <v>615</v>
      </c>
      <c r="B11" s="1" t="s">
        <v>609</v>
      </c>
      <c r="C11" s="1" t="s">
        <v>11</v>
      </c>
      <c r="D11" s="1" t="s">
        <v>97</v>
      </c>
      <c r="E11" s="2"/>
    </row>
    <row r="12" spans="1:6" ht="15.75" x14ac:dyDescent="0.25">
      <c r="A12" s="1" t="s">
        <v>616</v>
      </c>
      <c r="B12" s="1" t="s">
        <v>609</v>
      </c>
      <c r="C12" s="1" t="s">
        <v>7</v>
      </c>
      <c r="D12" s="1" t="s">
        <v>97</v>
      </c>
      <c r="E12" s="2">
        <v>5.5</v>
      </c>
    </row>
    <row r="13" spans="1:6" ht="15.75" x14ac:dyDescent="0.25">
      <c r="A13" s="1" t="s">
        <v>617</v>
      </c>
      <c r="B13" s="1" t="s">
        <v>609</v>
      </c>
      <c r="C13" s="1" t="s">
        <v>11</v>
      </c>
      <c r="D13" s="1" t="s">
        <v>97</v>
      </c>
      <c r="E13" s="2"/>
    </row>
    <row r="14" spans="1:6" ht="15.75" x14ac:dyDescent="0.25">
      <c r="A14" s="1" t="s">
        <v>287</v>
      </c>
      <c r="B14" s="1" t="s">
        <v>609</v>
      </c>
      <c r="C14" s="1" t="s">
        <v>7</v>
      </c>
      <c r="D14" s="1" t="s">
        <v>97</v>
      </c>
      <c r="E14" s="2">
        <v>5</v>
      </c>
    </row>
    <row r="15" spans="1:6" ht="15.75" x14ac:dyDescent="0.25">
      <c r="A15" s="1" t="s">
        <v>618</v>
      </c>
      <c r="B15" s="1" t="s">
        <v>609</v>
      </c>
      <c r="C15" s="1" t="s">
        <v>11</v>
      </c>
      <c r="D15" s="1" t="s">
        <v>97</v>
      </c>
      <c r="E15" s="2"/>
    </row>
    <row r="16" spans="1:6" ht="15.75" x14ac:dyDescent="0.25">
      <c r="A16" s="1" t="s">
        <v>619</v>
      </c>
      <c r="B16" s="1" t="s">
        <v>609</v>
      </c>
      <c r="C16" s="1" t="s">
        <v>7</v>
      </c>
      <c r="D16" s="1" t="s">
        <v>97</v>
      </c>
      <c r="E16" s="2">
        <v>5</v>
      </c>
    </row>
    <row r="17" spans="1:5" ht="15.75" x14ac:dyDescent="0.25">
      <c r="A17" s="1" t="s">
        <v>620</v>
      </c>
      <c r="B17" s="1" t="s">
        <v>609</v>
      </c>
      <c r="C17" s="1" t="s">
        <v>11</v>
      </c>
      <c r="D17" s="1" t="s">
        <v>97</v>
      </c>
      <c r="E17" s="2"/>
    </row>
    <row r="18" spans="1:5" ht="15.75" x14ac:dyDescent="0.25">
      <c r="D18" s="1" t="s">
        <v>61</v>
      </c>
      <c r="E18" s="3">
        <f>SUM(E2:E17)</f>
        <v>43</v>
      </c>
    </row>
    <row r="19" spans="1:5" ht="15.75" x14ac:dyDescent="0.25">
      <c r="D19" s="1" t="s">
        <v>62</v>
      </c>
      <c r="E19" s="2">
        <v>15000</v>
      </c>
    </row>
    <row r="20" spans="1:5" ht="15.75" x14ac:dyDescent="0.25">
      <c r="D20" s="1" t="s">
        <v>63</v>
      </c>
      <c r="E20" s="1">
        <f>E18*E19</f>
        <v>645000</v>
      </c>
    </row>
    <row r="21" spans="1:5" ht="15.75" customHeight="1" x14ac:dyDescent="0.25">
      <c r="D21" s="1" t="s">
        <v>64</v>
      </c>
      <c r="E21" s="2">
        <v>0</v>
      </c>
    </row>
    <row r="22" spans="1:5" ht="15.75" customHeight="1" x14ac:dyDescent="0.25">
      <c r="D22" s="1" t="s">
        <v>65</v>
      </c>
      <c r="E22" s="2">
        <v>0</v>
      </c>
    </row>
    <row r="23" spans="1:5" ht="15.75" customHeight="1" x14ac:dyDescent="0.25">
      <c r="D23" s="1" t="s">
        <v>66</v>
      </c>
      <c r="E23" s="2">
        <v>0</v>
      </c>
    </row>
    <row r="24" spans="1:5" ht="15.75" customHeight="1" x14ac:dyDescent="0.25">
      <c r="D24" s="1" t="s">
        <v>67</v>
      </c>
      <c r="E24" s="2">
        <v>0</v>
      </c>
    </row>
    <row r="25" spans="1:5" ht="15.75" customHeight="1" x14ac:dyDescent="0.25">
      <c r="D25" s="1" t="s">
        <v>68</v>
      </c>
      <c r="E25" s="2">
        <v>0</v>
      </c>
    </row>
    <row r="26" spans="1:5" ht="15.75" customHeight="1" x14ac:dyDescent="0.25">
      <c r="D26" s="1" t="s">
        <v>69</v>
      </c>
      <c r="E26" s="3">
        <f>E20 - SUM(E21:E25)</f>
        <v>645000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96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491</v>
      </c>
      <c r="B2" s="1" t="s">
        <v>621</v>
      </c>
      <c r="C2" s="1" t="s">
        <v>7</v>
      </c>
      <c r="D2" s="1" t="s">
        <v>8</v>
      </c>
      <c r="E2" s="2">
        <v>7.5</v>
      </c>
      <c r="F2" s="1" t="s">
        <v>149</v>
      </c>
    </row>
    <row r="3" spans="1:6" ht="15.75" x14ac:dyDescent="0.25">
      <c r="A3" s="1" t="s">
        <v>622</v>
      </c>
      <c r="B3" s="1" t="s">
        <v>621</v>
      </c>
      <c r="C3" s="1" t="s">
        <v>11</v>
      </c>
      <c r="D3" s="1" t="s">
        <v>8</v>
      </c>
      <c r="E3" s="2"/>
    </row>
    <row r="4" spans="1:6" ht="15.75" x14ac:dyDescent="0.25">
      <c r="A4" s="1" t="s">
        <v>232</v>
      </c>
      <c r="B4" s="1" t="s">
        <v>621</v>
      </c>
      <c r="C4" s="1" t="s">
        <v>7</v>
      </c>
      <c r="D4" s="1" t="s">
        <v>8</v>
      </c>
      <c r="E4" s="2">
        <v>5</v>
      </c>
    </row>
    <row r="5" spans="1:6" ht="15.75" x14ac:dyDescent="0.25">
      <c r="A5" s="1" t="s">
        <v>271</v>
      </c>
      <c r="B5" s="1" t="s">
        <v>621</v>
      </c>
      <c r="C5" s="1" t="s">
        <v>11</v>
      </c>
      <c r="D5" s="1" t="s">
        <v>8</v>
      </c>
      <c r="E5" s="2"/>
    </row>
    <row r="6" spans="1:6" ht="15.75" x14ac:dyDescent="0.25">
      <c r="A6" s="1" t="s">
        <v>623</v>
      </c>
      <c r="B6" s="1" t="s">
        <v>621</v>
      </c>
      <c r="C6" s="1" t="s">
        <v>7</v>
      </c>
      <c r="D6" s="1" t="s">
        <v>8</v>
      </c>
      <c r="E6" s="2">
        <v>10</v>
      </c>
    </row>
    <row r="7" spans="1:6" ht="15.75" x14ac:dyDescent="0.25">
      <c r="A7" s="1" t="s">
        <v>624</v>
      </c>
      <c r="B7" s="1" t="s">
        <v>621</v>
      </c>
      <c r="C7" s="1" t="s">
        <v>11</v>
      </c>
      <c r="D7" s="1" t="s">
        <v>8</v>
      </c>
      <c r="E7" s="2"/>
    </row>
    <row r="8" spans="1:6" ht="15.75" x14ac:dyDescent="0.25">
      <c r="A8" s="1" t="s">
        <v>429</v>
      </c>
      <c r="B8" s="1" t="s">
        <v>621</v>
      </c>
      <c r="C8" s="1" t="s">
        <v>7</v>
      </c>
      <c r="D8" s="1" t="s">
        <v>8</v>
      </c>
      <c r="E8" s="2">
        <v>10</v>
      </c>
    </row>
    <row r="9" spans="1:6" ht="15.75" x14ac:dyDescent="0.25">
      <c r="A9" s="1" t="s">
        <v>207</v>
      </c>
      <c r="E9" s="2"/>
    </row>
    <row r="10" spans="1:6" ht="15.75" x14ac:dyDescent="0.25">
      <c r="A10" s="1" t="s">
        <v>396</v>
      </c>
      <c r="B10" s="1" t="s">
        <v>621</v>
      </c>
      <c r="C10" s="1" t="s">
        <v>7</v>
      </c>
      <c r="D10" s="1" t="s">
        <v>8</v>
      </c>
      <c r="E10" s="2">
        <v>5</v>
      </c>
    </row>
    <row r="11" spans="1:6" ht="15.75" x14ac:dyDescent="0.25">
      <c r="A11" s="1" t="s">
        <v>625</v>
      </c>
      <c r="B11" s="1" t="s">
        <v>621</v>
      </c>
      <c r="C11" s="1" t="s">
        <v>11</v>
      </c>
      <c r="D11" s="1" t="s">
        <v>8</v>
      </c>
      <c r="E11" s="2"/>
    </row>
    <row r="12" spans="1:6" ht="15.75" x14ac:dyDescent="0.25">
      <c r="A12" s="1" t="s">
        <v>595</v>
      </c>
      <c r="B12" s="1" t="s">
        <v>621</v>
      </c>
      <c r="C12" s="1" t="s">
        <v>7</v>
      </c>
      <c r="D12" s="1" t="s">
        <v>55</v>
      </c>
      <c r="E12" s="2">
        <v>5</v>
      </c>
    </row>
    <row r="13" spans="1:6" ht="15.75" x14ac:dyDescent="0.25">
      <c r="A13" s="1" t="s">
        <v>626</v>
      </c>
      <c r="B13" s="1" t="s">
        <v>621</v>
      </c>
      <c r="C13" s="1" t="s">
        <v>11</v>
      </c>
      <c r="D13" s="1" t="s">
        <v>55</v>
      </c>
      <c r="E13" s="2"/>
    </row>
    <row r="14" spans="1:6" ht="15.75" x14ac:dyDescent="0.25">
      <c r="A14" s="1" t="s">
        <v>435</v>
      </c>
      <c r="B14" s="1" t="s">
        <v>621</v>
      </c>
      <c r="C14" s="1" t="s">
        <v>7</v>
      </c>
      <c r="D14" s="1" t="s">
        <v>8</v>
      </c>
      <c r="E14" s="2">
        <v>10</v>
      </c>
    </row>
    <row r="15" spans="1:6" ht="15.75" x14ac:dyDescent="0.25">
      <c r="A15" s="1" t="s">
        <v>627</v>
      </c>
      <c r="B15" s="1" t="s">
        <v>621</v>
      </c>
      <c r="C15" s="1" t="s">
        <v>11</v>
      </c>
      <c r="D15" s="1" t="s">
        <v>8</v>
      </c>
      <c r="E15" s="2"/>
    </row>
    <row r="16" spans="1:6" ht="15.75" x14ac:dyDescent="0.25">
      <c r="A16" s="1" t="s">
        <v>628</v>
      </c>
      <c r="B16" s="1" t="s">
        <v>621</v>
      </c>
      <c r="C16" s="1" t="s">
        <v>7</v>
      </c>
      <c r="D16" s="1" t="s">
        <v>8</v>
      </c>
      <c r="E16" s="2">
        <v>3</v>
      </c>
    </row>
    <row r="17" spans="1:5" ht="15.75" x14ac:dyDescent="0.25">
      <c r="A17" s="1" t="s">
        <v>629</v>
      </c>
      <c r="B17" s="1" t="s">
        <v>621</v>
      </c>
      <c r="C17" s="1" t="s">
        <v>11</v>
      </c>
      <c r="D17" s="1" t="s">
        <v>8</v>
      </c>
      <c r="E17" s="2"/>
    </row>
    <row r="18" spans="1:5" ht="15.75" x14ac:dyDescent="0.25">
      <c r="A18" s="1" t="s">
        <v>630</v>
      </c>
      <c r="B18" s="1" t="s">
        <v>621</v>
      </c>
      <c r="C18" s="1" t="s">
        <v>7</v>
      </c>
      <c r="D18" s="1" t="s">
        <v>8</v>
      </c>
      <c r="E18" s="2">
        <v>10</v>
      </c>
    </row>
    <row r="19" spans="1:5" ht="15.75" customHeight="1" x14ac:dyDescent="0.25">
      <c r="A19" s="1" t="s">
        <v>631</v>
      </c>
      <c r="B19" s="1" t="s">
        <v>621</v>
      </c>
      <c r="C19" s="1" t="s">
        <v>11</v>
      </c>
      <c r="D19" s="1" t="s">
        <v>8</v>
      </c>
      <c r="E19" s="2"/>
    </row>
    <row r="20" spans="1:5" ht="15.75" customHeight="1" x14ac:dyDescent="0.25">
      <c r="A20" s="1" t="s">
        <v>187</v>
      </c>
      <c r="B20" s="1" t="s">
        <v>621</v>
      </c>
      <c r="C20" s="1" t="s">
        <v>7</v>
      </c>
      <c r="D20" s="1" t="s">
        <v>8</v>
      </c>
      <c r="E20" s="2">
        <v>5</v>
      </c>
    </row>
    <row r="21" spans="1:5" ht="15.75" customHeight="1" x14ac:dyDescent="0.25">
      <c r="A21" s="1" t="s">
        <v>632</v>
      </c>
      <c r="B21" s="1" t="s">
        <v>621</v>
      </c>
      <c r="C21" s="1" t="s">
        <v>11</v>
      </c>
      <c r="D21" s="1" t="s">
        <v>8</v>
      </c>
      <c r="E21" s="2"/>
    </row>
    <row r="22" spans="1:5" ht="15.75" customHeight="1" x14ac:dyDescent="0.25">
      <c r="A22" s="1" t="s">
        <v>633</v>
      </c>
      <c r="B22" s="1" t="s">
        <v>621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634</v>
      </c>
      <c r="B23" s="1" t="s">
        <v>621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635</v>
      </c>
      <c r="B24" s="1" t="s">
        <v>621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85</v>
      </c>
      <c r="B25" s="1" t="s">
        <v>621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636</v>
      </c>
      <c r="B26" s="1" t="s">
        <v>621</v>
      </c>
      <c r="C26" s="1" t="s">
        <v>7</v>
      </c>
      <c r="D26" s="1" t="s">
        <v>8</v>
      </c>
      <c r="E26" s="2">
        <v>5</v>
      </c>
    </row>
    <row r="27" spans="1:5" ht="15.75" customHeight="1" x14ac:dyDescent="0.25">
      <c r="A27" s="1" t="s">
        <v>325</v>
      </c>
      <c r="B27" s="1" t="s">
        <v>621</v>
      </c>
      <c r="C27" s="1" t="s">
        <v>11</v>
      </c>
      <c r="D27" s="1" t="s">
        <v>8</v>
      </c>
      <c r="E27" s="2"/>
    </row>
    <row r="28" spans="1:5" ht="15.75" customHeight="1" x14ac:dyDescent="0.25">
      <c r="A28" s="1" t="s">
        <v>637</v>
      </c>
      <c r="B28" s="1" t="s">
        <v>621</v>
      </c>
      <c r="C28" s="1" t="s">
        <v>7</v>
      </c>
      <c r="D28" s="1" t="s">
        <v>8</v>
      </c>
      <c r="E28" s="2">
        <v>5</v>
      </c>
    </row>
    <row r="29" spans="1:5" ht="15.75" customHeight="1" x14ac:dyDescent="0.25">
      <c r="A29" s="1" t="s">
        <v>638</v>
      </c>
      <c r="B29" s="1" t="s">
        <v>621</v>
      </c>
      <c r="C29" s="1" t="s">
        <v>11</v>
      </c>
      <c r="D29" s="1" t="s">
        <v>8</v>
      </c>
      <c r="E29" s="2"/>
    </row>
    <row r="30" spans="1:5" ht="15.75" customHeight="1" x14ac:dyDescent="0.25">
      <c r="A30" s="1" t="s">
        <v>453</v>
      </c>
      <c r="B30" s="1" t="s">
        <v>621</v>
      </c>
      <c r="C30" s="1" t="s">
        <v>7</v>
      </c>
      <c r="D30" s="1" t="s">
        <v>55</v>
      </c>
      <c r="E30" s="2">
        <v>5</v>
      </c>
    </row>
    <row r="31" spans="1:5" ht="15.75" customHeight="1" x14ac:dyDescent="0.25">
      <c r="A31" s="1" t="s">
        <v>226</v>
      </c>
      <c r="B31" s="1" t="s">
        <v>621</v>
      </c>
      <c r="C31" s="1" t="s">
        <v>11</v>
      </c>
      <c r="D31" s="1" t="s">
        <v>55</v>
      </c>
      <c r="E31" s="2"/>
    </row>
    <row r="32" spans="1:5" ht="15.75" customHeight="1" x14ac:dyDescent="0.25">
      <c r="D32" s="1" t="s">
        <v>61</v>
      </c>
      <c r="E32" s="3">
        <f>SUM(E2:E31)</f>
        <v>95.5</v>
      </c>
    </row>
    <row r="33" spans="4:5" ht="15.75" customHeight="1" x14ac:dyDescent="0.25">
      <c r="D33" s="1" t="s">
        <v>62</v>
      </c>
      <c r="E33" s="2">
        <v>15000</v>
      </c>
    </row>
    <row r="34" spans="4:5" ht="15.75" customHeight="1" x14ac:dyDescent="0.25">
      <c r="D34" s="1" t="s">
        <v>63</v>
      </c>
      <c r="E34" s="1">
        <f>E32*E33</f>
        <v>1432500</v>
      </c>
    </row>
    <row r="35" spans="4:5" ht="15.75" customHeight="1" x14ac:dyDescent="0.25">
      <c r="D35" s="1" t="s">
        <v>64</v>
      </c>
      <c r="E35" s="2">
        <v>0</v>
      </c>
    </row>
    <row r="36" spans="4:5" ht="15.75" customHeight="1" x14ac:dyDescent="0.25">
      <c r="D36" s="1" t="s">
        <v>65</v>
      </c>
      <c r="E36" s="2">
        <v>0</v>
      </c>
    </row>
    <row r="37" spans="4:5" ht="15.75" customHeight="1" x14ac:dyDescent="0.25">
      <c r="D37" s="1" t="s">
        <v>66</v>
      </c>
      <c r="E37" s="2">
        <v>0</v>
      </c>
    </row>
    <row r="38" spans="4:5" ht="15.75" customHeight="1" x14ac:dyDescent="0.25">
      <c r="D38" s="1" t="s">
        <v>67</v>
      </c>
      <c r="E38" s="2">
        <v>0</v>
      </c>
    </row>
    <row r="39" spans="4:5" ht="15.75" customHeight="1" x14ac:dyDescent="0.25">
      <c r="D39" s="1" t="s">
        <v>68</v>
      </c>
      <c r="E39" s="2">
        <v>0</v>
      </c>
    </row>
    <row r="40" spans="4:5" ht="15.75" customHeight="1" x14ac:dyDescent="0.25">
      <c r="D40" s="1" t="s">
        <v>69</v>
      </c>
      <c r="E40" s="3">
        <f>E34 - SUM(E35:E39)</f>
        <v>1432500</v>
      </c>
    </row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5.75" x14ac:dyDescent="0.25">
      <c r="A2" s="1" t="s">
        <v>639</v>
      </c>
      <c r="B2" s="1" t="s">
        <v>640</v>
      </c>
      <c r="C2" s="1" t="s">
        <v>7</v>
      </c>
      <c r="D2" s="1" t="s">
        <v>13</v>
      </c>
      <c r="E2" s="2">
        <v>7.5</v>
      </c>
      <c r="F2" s="1" t="s">
        <v>95</v>
      </c>
    </row>
    <row r="3" spans="1:6" ht="15.75" x14ac:dyDescent="0.25">
      <c r="A3" s="1" t="s">
        <v>641</v>
      </c>
      <c r="B3" s="1" t="s">
        <v>640</v>
      </c>
      <c r="C3" s="1" t="s">
        <v>11</v>
      </c>
      <c r="D3" s="1" t="s">
        <v>13</v>
      </c>
      <c r="E3" s="2"/>
    </row>
    <row r="4" spans="1:6" ht="15.75" x14ac:dyDescent="0.25">
      <c r="A4" s="1" t="s">
        <v>102</v>
      </c>
      <c r="B4" s="1" t="s">
        <v>640</v>
      </c>
      <c r="C4" s="1" t="s">
        <v>7</v>
      </c>
      <c r="D4" s="1" t="s">
        <v>8</v>
      </c>
      <c r="E4" s="2">
        <v>5</v>
      </c>
    </row>
    <row r="5" spans="1:6" ht="15.75" x14ac:dyDescent="0.25">
      <c r="A5" s="1" t="s">
        <v>385</v>
      </c>
      <c r="B5" s="1" t="s">
        <v>640</v>
      </c>
      <c r="C5" s="1" t="s">
        <v>11</v>
      </c>
      <c r="D5" s="1" t="s">
        <v>8</v>
      </c>
      <c r="E5" s="2"/>
    </row>
    <row r="6" spans="1:6" ht="15.75" x14ac:dyDescent="0.25">
      <c r="A6" s="1" t="s">
        <v>642</v>
      </c>
      <c r="B6" s="1" t="s">
        <v>640</v>
      </c>
      <c r="C6" s="1" t="s">
        <v>7</v>
      </c>
      <c r="D6" s="1" t="s">
        <v>8</v>
      </c>
      <c r="E6" s="2">
        <v>5</v>
      </c>
    </row>
    <row r="7" spans="1:6" ht="15.75" x14ac:dyDescent="0.25">
      <c r="A7" s="1" t="s">
        <v>643</v>
      </c>
      <c r="B7" s="1" t="s">
        <v>640</v>
      </c>
      <c r="C7" s="1" t="s">
        <v>11</v>
      </c>
      <c r="D7" s="1" t="s">
        <v>8</v>
      </c>
      <c r="E7" s="2"/>
    </row>
    <row r="8" spans="1:6" ht="15.75" x14ac:dyDescent="0.25">
      <c r="A8" s="1" t="s">
        <v>644</v>
      </c>
      <c r="B8" s="1" t="s">
        <v>640</v>
      </c>
      <c r="C8" s="1" t="s">
        <v>7</v>
      </c>
      <c r="D8" s="1" t="s">
        <v>55</v>
      </c>
      <c r="E8" s="2">
        <v>5</v>
      </c>
    </row>
    <row r="9" spans="1:6" ht="15.75" x14ac:dyDescent="0.25">
      <c r="A9" s="1" t="s">
        <v>79</v>
      </c>
      <c r="B9" s="1" t="s">
        <v>640</v>
      </c>
      <c r="C9" s="1" t="s">
        <v>11</v>
      </c>
      <c r="D9" s="1" t="s">
        <v>55</v>
      </c>
      <c r="E9" s="2"/>
    </row>
    <row r="10" spans="1:6" ht="15.75" x14ac:dyDescent="0.25">
      <c r="A10" s="1" t="s">
        <v>645</v>
      </c>
      <c r="B10" s="1" t="s">
        <v>640</v>
      </c>
      <c r="C10" s="1" t="s">
        <v>7</v>
      </c>
      <c r="D10" s="1" t="s">
        <v>55</v>
      </c>
      <c r="E10" s="2">
        <v>5</v>
      </c>
    </row>
    <row r="11" spans="1:6" ht="15.75" x14ac:dyDescent="0.25">
      <c r="A11" s="1" t="s">
        <v>23</v>
      </c>
      <c r="B11" s="1" t="s">
        <v>640</v>
      </c>
      <c r="C11" s="1" t="s">
        <v>11</v>
      </c>
      <c r="D11" s="1" t="s">
        <v>55</v>
      </c>
      <c r="E11" s="2"/>
    </row>
    <row r="12" spans="1:6" ht="15.75" x14ac:dyDescent="0.25">
      <c r="A12" s="1" t="s">
        <v>646</v>
      </c>
      <c r="B12" s="1" t="s">
        <v>640</v>
      </c>
      <c r="C12" s="1" t="s">
        <v>7</v>
      </c>
      <c r="D12" s="1" t="s">
        <v>97</v>
      </c>
      <c r="E12" s="2">
        <v>9</v>
      </c>
    </row>
    <row r="13" spans="1:6" ht="15.75" x14ac:dyDescent="0.25">
      <c r="A13" s="1" t="s">
        <v>647</v>
      </c>
      <c r="B13" s="1" t="s">
        <v>640</v>
      </c>
      <c r="C13" s="1" t="s">
        <v>11</v>
      </c>
      <c r="D13" s="1" t="s">
        <v>97</v>
      </c>
      <c r="E13" s="2"/>
    </row>
    <row r="14" spans="1:6" ht="15.75" x14ac:dyDescent="0.25">
      <c r="A14" s="1" t="s">
        <v>648</v>
      </c>
      <c r="B14" s="1" t="s">
        <v>640</v>
      </c>
      <c r="C14" s="1" t="s">
        <v>7</v>
      </c>
      <c r="D14" s="1" t="s">
        <v>55</v>
      </c>
      <c r="E14" s="2">
        <v>10</v>
      </c>
    </row>
    <row r="15" spans="1:6" ht="15.75" x14ac:dyDescent="0.25">
      <c r="A15" s="1" t="s">
        <v>526</v>
      </c>
      <c r="B15" s="1" t="s">
        <v>640</v>
      </c>
      <c r="C15" s="1" t="s">
        <v>11</v>
      </c>
      <c r="D15" s="1" t="s">
        <v>55</v>
      </c>
      <c r="E15" s="2"/>
    </row>
    <row r="16" spans="1:6" ht="15.75" x14ac:dyDescent="0.25">
      <c r="A16" s="1" t="s">
        <v>649</v>
      </c>
      <c r="B16" s="1" t="s">
        <v>640</v>
      </c>
      <c r="C16" s="1" t="s">
        <v>7</v>
      </c>
      <c r="D16" s="1" t="s">
        <v>8</v>
      </c>
      <c r="E16" s="2">
        <v>5</v>
      </c>
    </row>
    <row r="17" spans="1:5" ht="15.75" x14ac:dyDescent="0.25">
      <c r="A17" s="1" t="s">
        <v>650</v>
      </c>
      <c r="B17" s="1" t="s">
        <v>640</v>
      </c>
      <c r="C17" s="1" t="s">
        <v>11</v>
      </c>
      <c r="D17" s="1" t="s">
        <v>8</v>
      </c>
      <c r="E17" s="2"/>
    </row>
    <row r="18" spans="1:5" ht="15.75" x14ac:dyDescent="0.25">
      <c r="A18" s="1" t="s">
        <v>651</v>
      </c>
      <c r="B18" s="1" t="s">
        <v>640</v>
      </c>
      <c r="C18" s="1" t="s">
        <v>7</v>
      </c>
      <c r="D18" s="1" t="s">
        <v>97</v>
      </c>
      <c r="E18" s="2">
        <v>5</v>
      </c>
    </row>
    <row r="19" spans="1:5" ht="15.75" x14ac:dyDescent="0.25">
      <c r="A19" s="1" t="s">
        <v>652</v>
      </c>
      <c r="B19" s="1" t="s">
        <v>640</v>
      </c>
      <c r="C19" s="1" t="s">
        <v>11</v>
      </c>
      <c r="D19" s="1" t="s">
        <v>97</v>
      </c>
      <c r="E19" s="2"/>
    </row>
    <row r="20" spans="1:5" ht="15.75" x14ac:dyDescent="0.25">
      <c r="A20" s="1" t="s">
        <v>653</v>
      </c>
      <c r="B20" s="1" t="s">
        <v>640</v>
      </c>
      <c r="C20" s="1" t="s">
        <v>7</v>
      </c>
      <c r="D20" s="1" t="s">
        <v>97</v>
      </c>
      <c r="E20" s="2">
        <v>6</v>
      </c>
    </row>
    <row r="21" spans="1:5" ht="15.75" customHeight="1" x14ac:dyDescent="0.25">
      <c r="A21" s="1" t="s">
        <v>367</v>
      </c>
      <c r="B21" s="1" t="s">
        <v>640</v>
      </c>
      <c r="C21" s="1" t="s">
        <v>11</v>
      </c>
      <c r="D21" s="1" t="s">
        <v>97</v>
      </c>
      <c r="E21" s="2"/>
    </row>
    <row r="22" spans="1:5" ht="15.75" customHeight="1" x14ac:dyDescent="0.25">
      <c r="A22" s="1" t="s">
        <v>654</v>
      </c>
      <c r="B22" s="1" t="s">
        <v>640</v>
      </c>
      <c r="C22" s="1" t="s">
        <v>7</v>
      </c>
      <c r="D22" s="1" t="s">
        <v>8</v>
      </c>
      <c r="E22" s="2">
        <v>12</v>
      </c>
    </row>
    <row r="23" spans="1:5" ht="15.75" customHeight="1" x14ac:dyDescent="0.25">
      <c r="A23" s="1" t="s">
        <v>441</v>
      </c>
      <c r="B23" s="1" t="s">
        <v>640</v>
      </c>
      <c r="C23" s="1" t="s">
        <v>11</v>
      </c>
      <c r="D23" s="1" t="s">
        <v>8</v>
      </c>
      <c r="E23" s="2"/>
    </row>
    <row r="24" spans="1:5" ht="15.75" customHeight="1" x14ac:dyDescent="0.25">
      <c r="A24" s="1" t="s">
        <v>655</v>
      </c>
      <c r="B24" s="1" t="s">
        <v>640</v>
      </c>
      <c r="C24" s="1" t="s">
        <v>7</v>
      </c>
      <c r="D24" s="1" t="s">
        <v>97</v>
      </c>
      <c r="E24" s="2">
        <v>9</v>
      </c>
    </row>
    <row r="25" spans="1:5" ht="15.75" customHeight="1" x14ac:dyDescent="0.25">
      <c r="A25" s="1" t="s">
        <v>656</v>
      </c>
      <c r="B25" s="1" t="s">
        <v>640</v>
      </c>
      <c r="C25" s="1" t="s">
        <v>11</v>
      </c>
      <c r="D25" s="1" t="s">
        <v>97</v>
      </c>
      <c r="E25" s="2"/>
    </row>
    <row r="26" spans="1:5" ht="15.75" customHeight="1" x14ac:dyDescent="0.25">
      <c r="A26" s="1" t="s">
        <v>284</v>
      </c>
      <c r="B26" s="1" t="s">
        <v>640</v>
      </c>
      <c r="C26" s="1" t="s">
        <v>7</v>
      </c>
      <c r="D26" s="1" t="s">
        <v>55</v>
      </c>
      <c r="E26" s="2">
        <v>5</v>
      </c>
    </row>
    <row r="27" spans="1:5" ht="15.75" customHeight="1" x14ac:dyDescent="0.25">
      <c r="A27" s="1" t="s">
        <v>587</v>
      </c>
      <c r="B27" s="1" t="s">
        <v>640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244</v>
      </c>
      <c r="B28" s="1" t="s">
        <v>640</v>
      </c>
      <c r="C28" s="1" t="s">
        <v>7</v>
      </c>
      <c r="D28" s="1" t="s">
        <v>97</v>
      </c>
      <c r="E28" s="2">
        <v>6</v>
      </c>
    </row>
    <row r="29" spans="1:5" ht="15.75" customHeight="1" x14ac:dyDescent="0.25">
      <c r="A29" s="1" t="s">
        <v>657</v>
      </c>
      <c r="B29" s="1" t="s">
        <v>640</v>
      </c>
      <c r="C29" s="1" t="s">
        <v>11</v>
      </c>
      <c r="D29" s="1" t="s">
        <v>97</v>
      </c>
      <c r="E29" s="2"/>
    </row>
    <row r="30" spans="1:5" ht="15.75" customHeight="1" x14ac:dyDescent="0.25">
      <c r="A30" s="1" t="s">
        <v>189</v>
      </c>
      <c r="B30" s="1" t="s">
        <v>640</v>
      </c>
      <c r="C30" s="1" t="s">
        <v>7</v>
      </c>
      <c r="D30" s="1" t="s">
        <v>97</v>
      </c>
      <c r="E30" s="2">
        <v>5</v>
      </c>
    </row>
    <row r="31" spans="1:5" ht="15.75" customHeight="1" x14ac:dyDescent="0.25">
      <c r="A31" s="1" t="s">
        <v>658</v>
      </c>
      <c r="B31" s="1" t="s">
        <v>640</v>
      </c>
      <c r="C31" s="1" t="s">
        <v>11</v>
      </c>
      <c r="D31" s="1" t="s">
        <v>97</v>
      </c>
      <c r="E31" s="2"/>
    </row>
    <row r="32" spans="1:5" ht="15.75" customHeight="1" x14ac:dyDescent="0.25">
      <c r="A32" s="1" t="s">
        <v>659</v>
      </c>
      <c r="B32" s="1" t="s">
        <v>640</v>
      </c>
      <c r="C32" s="1" t="s">
        <v>7</v>
      </c>
      <c r="D32" s="1" t="s">
        <v>97</v>
      </c>
      <c r="E32" s="2">
        <v>5</v>
      </c>
    </row>
    <row r="33" spans="1:5" ht="15.75" customHeight="1" x14ac:dyDescent="0.25">
      <c r="A33" s="1" t="s">
        <v>660</v>
      </c>
      <c r="B33" s="1" t="s">
        <v>640</v>
      </c>
      <c r="C33" s="1" t="s">
        <v>11</v>
      </c>
      <c r="D33" s="1" t="s">
        <v>97</v>
      </c>
      <c r="E33" s="2"/>
    </row>
    <row r="34" spans="1:5" ht="15.75" customHeight="1" x14ac:dyDescent="0.25">
      <c r="A34" s="1" t="s">
        <v>661</v>
      </c>
      <c r="B34" s="1" t="s">
        <v>640</v>
      </c>
      <c r="C34" s="1" t="s">
        <v>7</v>
      </c>
      <c r="D34" s="1" t="s">
        <v>8</v>
      </c>
      <c r="E34" s="2">
        <v>5</v>
      </c>
    </row>
    <row r="35" spans="1:5" ht="15.75" customHeight="1" x14ac:dyDescent="0.25">
      <c r="A35" s="1" t="s">
        <v>662</v>
      </c>
      <c r="B35" s="1" t="s">
        <v>640</v>
      </c>
      <c r="C35" s="1" t="s">
        <v>11</v>
      </c>
      <c r="D35" s="1" t="s">
        <v>8</v>
      </c>
      <c r="E35" s="2"/>
    </row>
    <row r="36" spans="1:5" ht="15.75" customHeight="1" x14ac:dyDescent="0.25">
      <c r="A36" s="1" t="s">
        <v>663</v>
      </c>
      <c r="B36" s="1" t="s">
        <v>640</v>
      </c>
      <c r="C36" s="1" t="s">
        <v>7</v>
      </c>
      <c r="D36" s="1" t="s">
        <v>8</v>
      </c>
      <c r="E36" s="2">
        <v>5</v>
      </c>
    </row>
    <row r="37" spans="1:5" ht="15.75" customHeight="1" x14ac:dyDescent="0.25">
      <c r="A37" s="1" t="s">
        <v>664</v>
      </c>
      <c r="B37" s="1" t="s">
        <v>640</v>
      </c>
      <c r="C37" s="1" t="s">
        <v>11</v>
      </c>
      <c r="D37" s="1" t="s">
        <v>8</v>
      </c>
      <c r="E37" s="2"/>
    </row>
    <row r="38" spans="1:5" ht="15.75" customHeight="1" x14ac:dyDescent="0.25">
      <c r="A38" s="1" t="s">
        <v>665</v>
      </c>
      <c r="B38" s="1" t="s">
        <v>640</v>
      </c>
      <c r="C38" s="1" t="s">
        <v>7</v>
      </c>
      <c r="D38" s="1" t="s">
        <v>55</v>
      </c>
      <c r="E38" s="2">
        <v>5</v>
      </c>
    </row>
    <row r="39" spans="1:5" ht="15.75" customHeight="1" x14ac:dyDescent="0.25">
      <c r="A39" s="1" t="s">
        <v>666</v>
      </c>
      <c r="B39" s="1" t="s">
        <v>640</v>
      </c>
      <c r="C39" s="1" t="s">
        <v>11</v>
      </c>
      <c r="D39" s="1" t="s">
        <v>55</v>
      </c>
      <c r="E39" s="2"/>
    </row>
    <row r="40" spans="1:5" ht="15.75" customHeight="1" x14ac:dyDescent="0.25">
      <c r="A40" s="1" t="s">
        <v>58</v>
      </c>
      <c r="B40" s="1" t="s">
        <v>640</v>
      </c>
      <c r="C40" s="1" t="s">
        <v>7</v>
      </c>
      <c r="D40" s="1" t="s">
        <v>13</v>
      </c>
      <c r="E40" s="2">
        <v>5</v>
      </c>
    </row>
    <row r="41" spans="1:5" ht="15.75" customHeight="1" x14ac:dyDescent="0.25">
      <c r="A41" s="1" t="s">
        <v>667</v>
      </c>
      <c r="B41" s="1" t="s">
        <v>640</v>
      </c>
      <c r="C41" s="1" t="s">
        <v>11</v>
      </c>
      <c r="D41" s="1" t="s">
        <v>13</v>
      </c>
      <c r="E41" s="2"/>
    </row>
    <row r="42" spans="1:5" ht="15.75" customHeight="1" x14ac:dyDescent="0.25">
      <c r="D42" s="1" t="s">
        <v>61</v>
      </c>
      <c r="E42" s="3">
        <f>SUM(E2:E41)</f>
        <v>124.5</v>
      </c>
    </row>
    <row r="43" spans="1:5" ht="15.75" customHeight="1" x14ac:dyDescent="0.25">
      <c r="D43" s="1" t="s">
        <v>62</v>
      </c>
      <c r="E43" s="2">
        <v>15000</v>
      </c>
    </row>
    <row r="44" spans="1:5" ht="15.75" customHeight="1" x14ac:dyDescent="0.25">
      <c r="D44" s="1" t="s">
        <v>63</v>
      </c>
      <c r="E44" s="1">
        <f>E42*E43</f>
        <v>1867500</v>
      </c>
    </row>
    <row r="45" spans="1:5" ht="15.75" customHeight="1" x14ac:dyDescent="0.25">
      <c r="D45" s="1" t="s">
        <v>64</v>
      </c>
      <c r="E45" s="2">
        <v>1000000</v>
      </c>
    </row>
    <row r="46" spans="1:5" ht="15.75" customHeight="1" x14ac:dyDescent="0.25">
      <c r="D46" s="1" t="s">
        <v>65</v>
      </c>
      <c r="E46" s="2"/>
    </row>
    <row r="47" spans="1:5" ht="15.75" customHeight="1" x14ac:dyDescent="0.25">
      <c r="D47" s="1" t="s">
        <v>66</v>
      </c>
      <c r="E47" s="2"/>
    </row>
    <row r="48" spans="1:5" ht="15.75" customHeight="1" x14ac:dyDescent="0.25">
      <c r="D48" s="1" t="s">
        <v>67</v>
      </c>
      <c r="E48" s="2"/>
    </row>
    <row r="49" spans="4:5" ht="15.75" customHeight="1" x14ac:dyDescent="0.25">
      <c r="D49" s="1" t="s">
        <v>68</v>
      </c>
      <c r="E49" s="2">
        <v>0</v>
      </c>
    </row>
    <row r="50" spans="4:5" ht="15.75" customHeight="1" x14ac:dyDescent="0.25">
      <c r="D50" s="1" t="s">
        <v>69</v>
      </c>
      <c r="E50" s="3">
        <f>E44 - SUM(E45:E49)</f>
        <v>867500</v>
      </c>
    </row>
    <row r="51" spans="4:5" ht="15.75" customHeight="1" x14ac:dyDescent="0.25"/>
    <row r="52" spans="4:5" ht="15.75" customHeight="1" x14ac:dyDescent="0.25"/>
    <row r="53" spans="4:5" ht="15.75" customHeight="1" x14ac:dyDescent="0.25"/>
    <row r="54" spans="4:5" ht="15.75" customHeight="1" x14ac:dyDescent="0.25"/>
    <row r="55" spans="4:5" ht="15.75" customHeight="1" x14ac:dyDescent="0.25"/>
    <row r="56" spans="4:5" ht="15.75" customHeight="1" x14ac:dyDescent="0.25"/>
    <row r="57" spans="4:5" ht="15.75" customHeight="1" x14ac:dyDescent="0.25"/>
    <row r="58" spans="4:5" ht="15.75" customHeight="1" x14ac:dyDescent="0.25"/>
    <row r="59" spans="4:5" ht="15.75" customHeight="1" x14ac:dyDescent="0.25"/>
    <row r="60" spans="4:5" ht="15.75" customHeight="1" x14ac:dyDescent="0.25"/>
    <row r="61" spans="4:5" ht="15.75" customHeight="1" x14ac:dyDescent="0.25"/>
    <row r="62" spans="4:5" ht="15.75" customHeight="1" x14ac:dyDescent="0.25"/>
    <row r="63" spans="4:5" ht="15.75" customHeight="1" x14ac:dyDescent="0.25"/>
    <row r="64" spans="4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520</v>
      </c>
      <c r="B2" s="1" t="s">
        <v>668</v>
      </c>
      <c r="C2" s="1" t="s">
        <v>7</v>
      </c>
      <c r="D2" s="1" t="s">
        <v>55</v>
      </c>
      <c r="E2" s="2">
        <v>5</v>
      </c>
    </row>
    <row r="3" spans="1:5" ht="15.75" x14ac:dyDescent="0.25">
      <c r="A3" s="1" t="s">
        <v>103</v>
      </c>
      <c r="B3" s="1" t="s">
        <v>668</v>
      </c>
      <c r="C3" s="1" t="s">
        <v>11</v>
      </c>
      <c r="D3" s="1" t="s">
        <v>55</v>
      </c>
      <c r="E3" s="2"/>
    </row>
    <row r="4" spans="1:5" ht="15.75" x14ac:dyDescent="0.25">
      <c r="A4" s="1" t="s">
        <v>669</v>
      </c>
      <c r="B4" s="1" t="s">
        <v>668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306</v>
      </c>
      <c r="B5" s="1" t="s">
        <v>668</v>
      </c>
      <c r="C5" s="1" t="s">
        <v>11</v>
      </c>
      <c r="D5" s="1" t="s">
        <v>55</v>
      </c>
      <c r="E5" s="2"/>
    </row>
    <row r="6" spans="1:5" ht="15.75" x14ac:dyDescent="0.25">
      <c r="A6" s="1" t="s">
        <v>670</v>
      </c>
      <c r="B6" s="1" t="s">
        <v>668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237</v>
      </c>
      <c r="B7" s="1" t="s">
        <v>668</v>
      </c>
      <c r="C7" s="1" t="s">
        <v>11</v>
      </c>
      <c r="D7" s="1" t="s">
        <v>55</v>
      </c>
      <c r="E7" s="2"/>
    </row>
    <row r="8" spans="1:5" ht="15.75" x14ac:dyDescent="0.25">
      <c r="A8" s="1" t="s">
        <v>671</v>
      </c>
      <c r="B8" s="1" t="s">
        <v>668</v>
      </c>
      <c r="C8" s="1" t="s">
        <v>7</v>
      </c>
      <c r="D8" s="1" t="s">
        <v>55</v>
      </c>
      <c r="E8" s="2">
        <v>5</v>
      </c>
    </row>
    <row r="9" spans="1:5" ht="15.75" x14ac:dyDescent="0.25">
      <c r="A9" s="1" t="s">
        <v>25</v>
      </c>
      <c r="B9" s="1" t="s">
        <v>668</v>
      </c>
      <c r="C9" s="1" t="s">
        <v>11</v>
      </c>
      <c r="D9" s="1" t="s">
        <v>55</v>
      </c>
      <c r="E9" s="2"/>
    </row>
    <row r="10" spans="1:5" ht="15.75" x14ac:dyDescent="0.25">
      <c r="A10" s="1" t="s">
        <v>672</v>
      </c>
      <c r="B10" s="1" t="s">
        <v>668</v>
      </c>
      <c r="C10" s="1" t="s">
        <v>7</v>
      </c>
      <c r="D10" s="1" t="s">
        <v>55</v>
      </c>
      <c r="E10" s="2">
        <v>5</v>
      </c>
    </row>
    <row r="11" spans="1:5" ht="15.75" x14ac:dyDescent="0.25">
      <c r="A11" s="1" t="s">
        <v>673</v>
      </c>
      <c r="B11" s="1" t="s">
        <v>668</v>
      </c>
      <c r="C11" s="1" t="s">
        <v>11</v>
      </c>
      <c r="D11" s="1" t="s">
        <v>55</v>
      </c>
      <c r="E11" s="2"/>
    </row>
    <row r="12" spans="1:5" ht="15.75" x14ac:dyDescent="0.25">
      <c r="A12" s="1" t="s">
        <v>674</v>
      </c>
      <c r="B12" s="1" t="s">
        <v>668</v>
      </c>
      <c r="C12" s="1" t="s">
        <v>7</v>
      </c>
      <c r="D12" s="1" t="s">
        <v>55</v>
      </c>
      <c r="E12" s="2">
        <v>5</v>
      </c>
    </row>
    <row r="13" spans="1:5" ht="15.75" x14ac:dyDescent="0.25">
      <c r="A13" s="1" t="s">
        <v>115</v>
      </c>
      <c r="B13" s="1" t="s">
        <v>668</v>
      </c>
      <c r="C13" s="1" t="s">
        <v>11</v>
      </c>
      <c r="D13" s="1" t="s">
        <v>55</v>
      </c>
      <c r="E13" s="2"/>
    </row>
    <row r="14" spans="1:5" ht="15.75" x14ac:dyDescent="0.25">
      <c r="A14" s="1" t="s">
        <v>675</v>
      </c>
      <c r="B14" s="1" t="s">
        <v>668</v>
      </c>
      <c r="C14" s="1" t="s">
        <v>7</v>
      </c>
      <c r="D14" s="1" t="s">
        <v>55</v>
      </c>
      <c r="E14" s="2">
        <v>5</v>
      </c>
    </row>
    <row r="15" spans="1:5" ht="15.75" x14ac:dyDescent="0.25">
      <c r="A15" s="1" t="s">
        <v>83</v>
      </c>
      <c r="B15" s="1" t="s">
        <v>668</v>
      </c>
      <c r="C15" s="1" t="s">
        <v>11</v>
      </c>
      <c r="D15" s="1" t="s">
        <v>55</v>
      </c>
      <c r="E15" s="2"/>
    </row>
    <row r="16" spans="1:5" ht="15.75" x14ac:dyDescent="0.25">
      <c r="A16" s="1" t="s">
        <v>676</v>
      </c>
      <c r="B16" s="1" t="s">
        <v>668</v>
      </c>
      <c r="C16" s="1" t="s">
        <v>7</v>
      </c>
      <c r="D16" s="1" t="s">
        <v>13</v>
      </c>
      <c r="E16" s="2">
        <v>5</v>
      </c>
    </row>
    <row r="17" spans="1:5" ht="15.75" x14ac:dyDescent="0.25">
      <c r="A17" s="1" t="s">
        <v>507</v>
      </c>
      <c r="B17" s="1" t="s">
        <v>668</v>
      </c>
      <c r="C17" s="1" t="s">
        <v>11</v>
      </c>
      <c r="D17" s="1" t="s">
        <v>13</v>
      </c>
      <c r="E17" s="2"/>
    </row>
    <row r="18" spans="1:5" ht="15.75" x14ac:dyDescent="0.25">
      <c r="A18" s="1" t="s">
        <v>138</v>
      </c>
      <c r="E18" s="2">
        <v>5</v>
      </c>
    </row>
    <row r="19" spans="1:5" ht="15.75" x14ac:dyDescent="0.25">
      <c r="A19" s="1" t="s">
        <v>126</v>
      </c>
      <c r="B19" s="1" t="s">
        <v>668</v>
      </c>
      <c r="C19" s="1" t="s">
        <v>11</v>
      </c>
      <c r="D19" s="1" t="s">
        <v>55</v>
      </c>
      <c r="E19" s="2"/>
    </row>
    <row r="20" spans="1:5" ht="15.75" x14ac:dyDescent="0.25">
      <c r="A20" s="1" t="s">
        <v>677</v>
      </c>
      <c r="B20" s="1" t="s">
        <v>668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41</v>
      </c>
      <c r="B21" s="1" t="s">
        <v>668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661</v>
      </c>
      <c r="B22" s="1" t="s">
        <v>668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511</v>
      </c>
      <c r="B23" s="1" t="s">
        <v>668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413</v>
      </c>
      <c r="B24" s="1" t="s">
        <v>668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539</v>
      </c>
      <c r="B25" s="1" t="s">
        <v>668</v>
      </c>
      <c r="C25" s="1" t="s">
        <v>11</v>
      </c>
      <c r="D25" s="1" t="s">
        <v>55</v>
      </c>
      <c r="E25" s="2"/>
    </row>
    <row r="26" spans="1:5" ht="15.75" customHeight="1" x14ac:dyDescent="0.25">
      <c r="A26" s="1" t="s">
        <v>678</v>
      </c>
      <c r="B26" s="1" t="s">
        <v>668</v>
      </c>
      <c r="C26" s="1" t="s">
        <v>7</v>
      </c>
      <c r="D26" s="1" t="s">
        <v>55</v>
      </c>
      <c r="E26" s="2">
        <v>5</v>
      </c>
    </row>
    <row r="27" spans="1:5" ht="15.75" customHeight="1" x14ac:dyDescent="0.25">
      <c r="A27" s="1" t="s">
        <v>224</v>
      </c>
      <c r="B27" s="1" t="s">
        <v>668</v>
      </c>
      <c r="C27" s="1" t="s">
        <v>11</v>
      </c>
      <c r="D27" s="1" t="s">
        <v>55</v>
      </c>
      <c r="E27" s="2"/>
    </row>
    <row r="28" spans="1:5" ht="15.75" customHeight="1" x14ac:dyDescent="0.25">
      <c r="A28" s="1" t="s">
        <v>679</v>
      </c>
      <c r="B28" s="1" t="s">
        <v>668</v>
      </c>
      <c r="C28" s="1" t="s">
        <v>7</v>
      </c>
      <c r="D28" s="1" t="s">
        <v>55</v>
      </c>
      <c r="E28" s="2">
        <v>5</v>
      </c>
    </row>
    <row r="29" spans="1:5" ht="15.75" customHeight="1" x14ac:dyDescent="0.25">
      <c r="A29" s="1" t="s">
        <v>332</v>
      </c>
      <c r="B29" s="1" t="s">
        <v>668</v>
      </c>
      <c r="C29" s="1" t="s">
        <v>11</v>
      </c>
      <c r="D29" s="1" t="s">
        <v>55</v>
      </c>
      <c r="E29" s="2"/>
    </row>
    <row r="30" spans="1:5" ht="15.75" customHeight="1" x14ac:dyDescent="0.25">
      <c r="A30" s="1" t="s">
        <v>680</v>
      </c>
      <c r="B30" s="1" t="s">
        <v>668</v>
      </c>
      <c r="C30" s="1" t="s">
        <v>7</v>
      </c>
      <c r="D30" s="1" t="s">
        <v>13</v>
      </c>
      <c r="E30" s="2">
        <v>5</v>
      </c>
    </row>
    <row r="31" spans="1:5" ht="15.75" customHeight="1" x14ac:dyDescent="0.25">
      <c r="A31" s="1" t="s">
        <v>141</v>
      </c>
      <c r="B31" s="1" t="s">
        <v>668</v>
      </c>
      <c r="C31" s="1" t="s">
        <v>11</v>
      </c>
      <c r="D31" s="1" t="s">
        <v>13</v>
      </c>
      <c r="E31" s="2"/>
    </row>
    <row r="32" spans="1:5" ht="15.75" customHeight="1" x14ac:dyDescent="0.25">
      <c r="A32" s="1" t="s">
        <v>681</v>
      </c>
      <c r="B32" s="1" t="s">
        <v>668</v>
      </c>
      <c r="C32" s="1" t="s">
        <v>7</v>
      </c>
      <c r="D32" s="1" t="s">
        <v>55</v>
      </c>
      <c r="E32" s="2">
        <v>5</v>
      </c>
    </row>
    <row r="33" spans="1:5" ht="15.75" customHeight="1" x14ac:dyDescent="0.25">
      <c r="A33" s="1" t="s">
        <v>56</v>
      </c>
      <c r="B33" s="1" t="s">
        <v>668</v>
      </c>
      <c r="C33" s="1" t="s">
        <v>11</v>
      </c>
      <c r="D33" s="1" t="s">
        <v>55</v>
      </c>
      <c r="E33" s="2"/>
    </row>
    <row r="34" spans="1:5" ht="15.75" customHeight="1" x14ac:dyDescent="0.25">
      <c r="A34" s="1" t="s">
        <v>682</v>
      </c>
      <c r="B34" s="1" t="s">
        <v>668</v>
      </c>
      <c r="C34" s="1" t="s">
        <v>7</v>
      </c>
      <c r="D34" s="1" t="s">
        <v>55</v>
      </c>
      <c r="E34" s="2">
        <v>5</v>
      </c>
    </row>
    <row r="35" spans="1:5" ht="15.75" customHeight="1" x14ac:dyDescent="0.25">
      <c r="A35" s="1" t="s">
        <v>336</v>
      </c>
      <c r="B35" s="1" t="s">
        <v>668</v>
      </c>
      <c r="C35" s="1" t="s">
        <v>11</v>
      </c>
      <c r="D35" s="1" t="s">
        <v>55</v>
      </c>
      <c r="E35" s="2"/>
    </row>
    <row r="36" spans="1:5" ht="15.75" customHeight="1" x14ac:dyDescent="0.25">
      <c r="D36" s="1" t="s">
        <v>61</v>
      </c>
      <c r="E36" s="3">
        <f>SUM(E2:E35)</f>
        <v>85</v>
      </c>
    </row>
    <row r="37" spans="1:5" ht="15.75" customHeight="1" x14ac:dyDescent="0.25">
      <c r="D37" s="1" t="s">
        <v>62</v>
      </c>
      <c r="E37" s="2">
        <v>15000</v>
      </c>
    </row>
    <row r="38" spans="1:5" ht="15.75" customHeight="1" x14ac:dyDescent="0.25">
      <c r="D38" s="1" t="s">
        <v>63</v>
      </c>
      <c r="E38" s="1">
        <f>E36*E37</f>
        <v>1275000</v>
      </c>
    </row>
    <row r="39" spans="1:5" ht="15.75" customHeight="1" x14ac:dyDescent="0.25">
      <c r="D39" s="1" t="s">
        <v>64</v>
      </c>
      <c r="E39" s="2">
        <v>600000</v>
      </c>
    </row>
    <row r="40" spans="1:5" ht="15.75" customHeight="1" x14ac:dyDescent="0.25">
      <c r="D40" s="1" t="s">
        <v>65</v>
      </c>
      <c r="E40" s="2">
        <v>200000</v>
      </c>
    </row>
    <row r="41" spans="1:5" ht="15.75" customHeight="1" x14ac:dyDescent="0.25">
      <c r="D41" s="1" t="s">
        <v>66</v>
      </c>
      <c r="E41" s="2">
        <v>0</v>
      </c>
    </row>
    <row r="42" spans="1:5" ht="15.75" customHeight="1" x14ac:dyDescent="0.25">
      <c r="D42" s="1" t="s">
        <v>67</v>
      </c>
      <c r="E42" s="2">
        <v>0</v>
      </c>
    </row>
    <row r="43" spans="1:5" ht="15.75" customHeight="1" x14ac:dyDescent="0.25">
      <c r="D43" s="1" t="s">
        <v>68</v>
      </c>
      <c r="E43" s="2">
        <v>0</v>
      </c>
    </row>
    <row r="44" spans="1:5" ht="15.75" customHeight="1" x14ac:dyDescent="0.25">
      <c r="D44" s="1" t="s">
        <v>69</v>
      </c>
      <c r="E44" s="3">
        <f>E38 - SUM(E39:E43)</f>
        <v>475000</v>
      </c>
    </row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159</v>
      </c>
      <c r="B2" s="1" t="s">
        <v>683</v>
      </c>
      <c r="C2" s="1" t="s">
        <v>7</v>
      </c>
      <c r="D2" s="1" t="s">
        <v>55</v>
      </c>
      <c r="E2" s="2">
        <v>5</v>
      </c>
    </row>
    <row r="3" spans="1:5" ht="15.75" x14ac:dyDescent="0.25">
      <c r="A3" s="1" t="s">
        <v>270</v>
      </c>
      <c r="B3" s="1" t="s">
        <v>683</v>
      </c>
      <c r="C3" s="1" t="s">
        <v>11</v>
      </c>
      <c r="D3" s="1" t="s">
        <v>55</v>
      </c>
      <c r="E3" s="2"/>
    </row>
    <row r="4" spans="1:5" ht="15.75" x14ac:dyDescent="0.25">
      <c r="A4" s="1" t="s">
        <v>684</v>
      </c>
      <c r="B4" s="1" t="s">
        <v>683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685</v>
      </c>
      <c r="B5" s="1" t="s">
        <v>683</v>
      </c>
      <c r="C5" s="1" t="s">
        <v>11</v>
      </c>
      <c r="D5" s="1" t="s">
        <v>55</v>
      </c>
      <c r="E5" s="2"/>
    </row>
    <row r="6" spans="1:5" ht="15.75" x14ac:dyDescent="0.25">
      <c r="A6" s="1" t="s">
        <v>686</v>
      </c>
      <c r="B6" s="1" t="s">
        <v>683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687</v>
      </c>
      <c r="B7" s="1" t="s">
        <v>683</v>
      </c>
      <c r="C7" s="1" t="s">
        <v>11</v>
      </c>
      <c r="D7" s="1" t="s">
        <v>55</v>
      </c>
      <c r="E7" s="2"/>
    </row>
    <row r="8" spans="1:5" ht="15.75" x14ac:dyDescent="0.25">
      <c r="A8" s="1" t="s">
        <v>688</v>
      </c>
      <c r="B8" s="1" t="s">
        <v>683</v>
      </c>
      <c r="C8" s="1" t="s">
        <v>7</v>
      </c>
      <c r="D8" s="1" t="s">
        <v>13</v>
      </c>
      <c r="E8" s="2">
        <v>5</v>
      </c>
    </row>
    <row r="9" spans="1:5" ht="15.75" x14ac:dyDescent="0.25">
      <c r="A9" s="1" t="s">
        <v>689</v>
      </c>
      <c r="B9" s="1" t="s">
        <v>683</v>
      </c>
      <c r="C9" s="1" t="s">
        <v>11</v>
      </c>
      <c r="D9" s="1" t="s">
        <v>13</v>
      </c>
      <c r="E9" s="2"/>
    </row>
    <row r="10" spans="1:5" ht="15.75" x14ac:dyDescent="0.25">
      <c r="A10" s="1" t="s">
        <v>604</v>
      </c>
      <c r="B10" s="1" t="s">
        <v>683</v>
      </c>
      <c r="C10" s="1" t="s">
        <v>7</v>
      </c>
      <c r="D10" s="1" t="s">
        <v>55</v>
      </c>
      <c r="E10" s="2">
        <v>5</v>
      </c>
    </row>
    <row r="11" spans="1:5" ht="15.75" x14ac:dyDescent="0.25">
      <c r="A11" s="1" t="s">
        <v>224</v>
      </c>
      <c r="B11" s="1" t="s">
        <v>683</v>
      </c>
      <c r="C11" s="1" t="s">
        <v>11</v>
      </c>
      <c r="D11" s="1" t="s">
        <v>55</v>
      </c>
      <c r="E11" s="2"/>
    </row>
    <row r="12" spans="1:5" ht="15.75" x14ac:dyDescent="0.25">
      <c r="A12" s="1" t="s">
        <v>451</v>
      </c>
      <c r="B12" s="1" t="s">
        <v>683</v>
      </c>
      <c r="C12" s="1" t="s">
        <v>7</v>
      </c>
      <c r="D12" s="1" t="s">
        <v>55</v>
      </c>
      <c r="E12" s="2">
        <v>5</v>
      </c>
    </row>
    <row r="13" spans="1:5" ht="15.75" x14ac:dyDescent="0.25">
      <c r="A13" s="1" t="s">
        <v>378</v>
      </c>
      <c r="B13" s="1" t="s">
        <v>683</v>
      </c>
      <c r="C13" s="1" t="s">
        <v>11</v>
      </c>
      <c r="D13" s="1" t="s">
        <v>55</v>
      </c>
      <c r="E13" s="2"/>
    </row>
    <row r="14" spans="1:5" ht="15.75" x14ac:dyDescent="0.25">
      <c r="D14" s="1" t="s">
        <v>61</v>
      </c>
      <c r="E14" s="3">
        <f>SUM(E2:E13)</f>
        <v>30</v>
      </c>
    </row>
    <row r="15" spans="1:5" ht="15.75" x14ac:dyDescent="0.25">
      <c r="D15" s="1" t="s">
        <v>62</v>
      </c>
      <c r="E15" s="2">
        <v>15000</v>
      </c>
    </row>
    <row r="16" spans="1:5" ht="15.75" x14ac:dyDescent="0.25">
      <c r="D16" s="1" t="s">
        <v>63</v>
      </c>
      <c r="E16" s="1">
        <f>E14*E15</f>
        <v>450000</v>
      </c>
    </row>
    <row r="17" spans="4:5" ht="15.75" x14ac:dyDescent="0.25">
      <c r="D17" s="1" t="s">
        <v>64</v>
      </c>
      <c r="E17" s="2">
        <v>0</v>
      </c>
    </row>
    <row r="18" spans="4:5" ht="15.75" x14ac:dyDescent="0.25">
      <c r="D18" s="1" t="s">
        <v>65</v>
      </c>
      <c r="E18" s="2">
        <v>0</v>
      </c>
    </row>
    <row r="19" spans="4:5" ht="15.75" x14ac:dyDescent="0.25">
      <c r="D19" s="1" t="s">
        <v>66</v>
      </c>
      <c r="E19" s="2">
        <v>0</v>
      </c>
    </row>
    <row r="20" spans="4:5" ht="15.75" x14ac:dyDescent="0.25">
      <c r="D20" s="1" t="s">
        <v>67</v>
      </c>
      <c r="E20" s="2">
        <v>0</v>
      </c>
    </row>
    <row r="21" spans="4:5" ht="15.75" customHeight="1" x14ac:dyDescent="0.25">
      <c r="D21" s="1" t="s">
        <v>68</v>
      </c>
      <c r="E21" s="2">
        <v>0</v>
      </c>
    </row>
    <row r="22" spans="4:5" ht="15.75" customHeight="1" x14ac:dyDescent="0.25">
      <c r="D22" s="1" t="s">
        <v>69</v>
      </c>
      <c r="E22" s="3">
        <f>E16 - SUM(E17:E21)</f>
        <v>450000</v>
      </c>
    </row>
    <row r="23" spans="4:5" ht="15.75" customHeight="1" x14ac:dyDescent="0.25"/>
    <row r="24" spans="4:5" ht="15.75" customHeight="1" x14ac:dyDescent="0.25"/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160</v>
      </c>
      <c r="B2" s="1" t="s">
        <v>690</v>
      </c>
      <c r="C2" s="1" t="s">
        <v>7</v>
      </c>
      <c r="D2" s="1" t="s">
        <v>55</v>
      </c>
      <c r="E2" s="2">
        <v>5</v>
      </c>
    </row>
    <row r="3" spans="1:5" ht="15.75" x14ac:dyDescent="0.25">
      <c r="A3" s="1" t="s">
        <v>691</v>
      </c>
      <c r="B3" s="1" t="s">
        <v>690</v>
      </c>
      <c r="C3" s="1" t="s">
        <v>11</v>
      </c>
      <c r="D3" s="1" t="s">
        <v>55</v>
      </c>
      <c r="E3" s="2"/>
    </row>
    <row r="4" spans="1:5" ht="15.75" x14ac:dyDescent="0.25">
      <c r="A4" s="1" t="s">
        <v>692</v>
      </c>
      <c r="B4" s="1" t="s">
        <v>690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693</v>
      </c>
      <c r="B5" s="1" t="s">
        <v>690</v>
      </c>
      <c r="C5" s="1" t="s">
        <v>11</v>
      </c>
      <c r="D5" s="1" t="s">
        <v>55</v>
      </c>
      <c r="E5" s="2"/>
    </row>
    <row r="6" spans="1:5" ht="15.75" x14ac:dyDescent="0.25">
      <c r="A6" s="1" t="s">
        <v>645</v>
      </c>
      <c r="B6" s="1" t="s">
        <v>690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694</v>
      </c>
      <c r="B7" s="1" t="s">
        <v>690</v>
      </c>
      <c r="C7" s="1" t="s">
        <v>11</v>
      </c>
      <c r="D7" s="1" t="s">
        <v>55</v>
      </c>
      <c r="E7" s="2"/>
    </row>
    <row r="8" spans="1:5" ht="15.75" x14ac:dyDescent="0.25">
      <c r="A8" s="1" t="s">
        <v>695</v>
      </c>
      <c r="B8" s="1" t="s">
        <v>690</v>
      </c>
      <c r="C8" s="1" t="s">
        <v>7</v>
      </c>
      <c r="D8" s="1" t="s">
        <v>55</v>
      </c>
      <c r="E8" s="2">
        <v>5</v>
      </c>
    </row>
    <row r="9" spans="1:5" ht="15.75" x14ac:dyDescent="0.25">
      <c r="A9" s="1" t="s">
        <v>109</v>
      </c>
      <c r="B9" s="1" t="s">
        <v>690</v>
      </c>
      <c r="C9" s="1" t="s">
        <v>11</v>
      </c>
      <c r="D9" s="1" t="s">
        <v>55</v>
      </c>
      <c r="E9" s="2"/>
    </row>
    <row r="10" spans="1:5" ht="15.75" x14ac:dyDescent="0.25">
      <c r="A10" s="1" t="s">
        <v>673</v>
      </c>
      <c r="B10" s="1" t="s">
        <v>690</v>
      </c>
      <c r="C10" s="1" t="s">
        <v>7</v>
      </c>
      <c r="D10" s="1" t="s">
        <v>55</v>
      </c>
      <c r="E10" s="2">
        <v>5</v>
      </c>
    </row>
    <row r="11" spans="1:5" ht="15.75" x14ac:dyDescent="0.25">
      <c r="A11" s="1" t="s">
        <v>696</v>
      </c>
      <c r="B11" s="1" t="s">
        <v>690</v>
      </c>
      <c r="C11" s="1" t="s">
        <v>11</v>
      </c>
      <c r="D11" s="1" t="s">
        <v>55</v>
      </c>
      <c r="E11" s="2"/>
    </row>
    <row r="12" spans="1:5" ht="15.75" x14ac:dyDescent="0.25">
      <c r="A12" s="1" t="s">
        <v>697</v>
      </c>
      <c r="B12" s="1" t="s">
        <v>690</v>
      </c>
      <c r="C12" s="1" t="s">
        <v>7</v>
      </c>
      <c r="D12" s="1" t="s">
        <v>8</v>
      </c>
      <c r="E12" s="2">
        <v>5</v>
      </c>
    </row>
    <row r="13" spans="1:5" ht="15.75" x14ac:dyDescent="0.25">
      <c r="A13" s="1" t="s">
        <v>698</v>
      </c>
      <c r="B13" s="1" t="s">
        <v>690</v>
      </c>
      <c r="C13" s="1" t="s">
        <v>11</v>
      </c>
      <c r="D13" s="1" t="s">
        <v>8</v>
      </c>
      <c r="E13" s="2"/>
    </row>
    <row r="14" spans="1:5" ht="15.75" x14ac:dyDescent="0.25">
      <c r="A14" s="1" t="s">
        <v>699</v>
      </c>
      <c r="B14" s="1" t="s">
        <v>690</v>
      </c>
      <c r="C14" s="1" t="s">
        <v>7</v>
      </c>
      <c r="D14" s="1" t="s">
        <v>55</v>
      </c>
      <c r="E14" s="2">
        <v>10</v>
      </c>
    </row>
    <row r="15" spans="1:5" ht="15.75" x14ac:dyDescent="0.25">
      <c r="A15" s="1" t="s">
        <v>700</v>
      </c>
      <c r="B15" s="1" t="s">
        <v>690</v>
      </c>
      <c r="C15" s="1" t="s">
        <v>11</v>
      </c>
      <c r="D15" s="1" t="s">
        <v>55</v>
      </c>
      <c r="E15" s="2"/>
    </row>
    <row r="16" spans="1:5" ht="15.75" x14ac:dyDescent="0.25">
      <c r="A16" s="1" t="s">
        <v>247</v>
      </c>
      <c r="B16" s="1" t="s">
        <v>690</v>
      </c>
      <c r="C16" s="1" t="s">
        <v>7</v>
      </c>
      <c r="D16" s="1" t="s">
        <v>8</v>
      </c>
      <c r="E16" s="2">
        <v>5</v>
      </c>
    </row>
    <row r="17" spans="1:5" ht="15.75" x14ac:dyDescent="0.25">
      <c r="A17" s="1" t="s">
        <v>701</v>
      </c>
      <c r="B17" s="1" t="s">
        <v>690</v>
      </c>
      <c r="C17" s="1" t="s">
        <v>11</v>
      </c>
      <c r="D17" s="1" t="s">
        <v>8</v>
      </c>
      <c r="E17" s="2"/>
    </row>
    <row r="18" spans="1:5" ht="15.75" x14ac:dyDescent="0.25">
      <c r="A18" s="1" t="s">
        <v>702</v>
      </c>
      <c r="B18" s="1" t="s">
        <v>690</v>
      </c>
      <c r="C18" s="1" t="s">
        <v>7</v>
      </c>
      <c r="D18" s="1" t="s">
        <v>8</v>
      </c>
      <c r="E18" s="2">
        <v>5</v>
      </c>
    </row>
    <row r="19" spans="1:5" ht="15.75" x14ac:dyDescent="0.25">
      <c r="A19" s="1" t="s">
        <v>536</v>
      </c>
      <c r="B19" s="1" t="s">
        <v>690</v>
      </c>
      <c r="C19" s="1" t="s">
        <v>11</v>
      </c>
      <c r="D19" s="1" t="s">
        <v>8</v>
      </c>
      <c r="E19" s="2"/>
    </row>
    <row r="20" spans="1:5" ht="15.75" x14ac:dyDescent="0.25">
      <c r="A20" s="1" t="s">
        <v>87</v>
      </c>
      <c r="B20" s="1" t="s">
        <v>690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703</v>
      </c>
      <c r="B21" s="1" t="s">
        <v>690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704</v>
      </c>
      <c r="B22" s="1" t="s">
        <v>690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705</v>
      </c>
      <c r="B23" s="1" t="s">
        <v>690</v>
      </c>
      <c r="C23" s="1" t="s">
        <v>11</v>
      </c>
      <c r="D23" s="1" t="s">
        <v>55</v>
      </c>
      <c r="E23" s="2"/>
    </row>
    <row r="24" spans="1:5" ht="15.75" customHeight="1" x14ac:dyDescent="0.25">
      <c r="A24" s="1" t="s">
        <v>706</v>
      </c>
      <c r="B24" s="1" t="s">
        <v>690</v>
      </c>
      <c r="C24" s="1" t="s">
        <v>7</v>
      </c>
      <c r="D24" s="1" t="s">
        <v>55</v>
      </c>
      <c r="E24" s="2">
        <v>5</v>
      </c>
    </row>
    <row r="25" spans="1:5" ht="15.75" customHeight="1" x14ac:dyDescent="0.25">
      <c r="A25" s="1" t="s">
        <v>707</v>
      </c>
      <c r="B25" s="1" t="s">
        <v>690</v>
      </c>
      <c r="C25" s="1" t="s">
        <v>11</v>
      </c>
      <c r="D25" s="1" t="s">
        <v>55</v>
      </c>
      <c r="E25" s="2"/>
    </row>
    <row r="26" spans="1:5" ht="15.75" customHeight="1" x14ac:dyDescent="0.25">
      <c r="D26" s="1" t="s">
        <v>61</v>
      </c>
      <c r="E26" s="3">
        <f>SUM(E2:E25)</f>
        <v>65</v>
      </c>
    </row>
    <row r="27" spans="1:5" ht="15.75" customHeight="1" x14ac:dyDescent="0.25">
      <c r="D27" s="1" t="s">
        <v>62</v>
      </c>
      <c r="E27" s="2">
        <v>17000</v>
      </c>
    </row>
    <row r="28" spans="1:5" ht="15.75" customHeight="1" x14ac:dyDescent="0.25">
      <c r="D28" s="1" t="s">
        <v>63</v>
      </c>
      <c r="E28" s="1">
        <f>E26*E27</f>
        <v>1105000</v>
      </c>
    </row>
    <row r="29" spans="1:5" ht="15.75" customHeight="1" x14ac:dyDescent="0.25">
      <c r="D29" s="1" t="s">
        <v>64</v>
      </c>
      <c r="E29" s="2">
        <v>500000</v>
      </c>
    </row>
    <row r="30" spans="1:5" ht="15.75" customHeight="1" x14ac:dyDescent="0.25">
      <c r="D30" s="1" t="s">
        <v>65</v>
      </c>
      <c r="E30" s="2">
        <v>200000</v>
      </c>
    </row>
    <row r="31" spans="1:5" ht="15.75" customHeight="1" x14ac:dyDescent="0.25">
      <c r="D31" s="1" t="s">
        <v>66</v>
      </c>
      <c r="E31" s="2">
        <v>200000</v>
      </c>
    </row>
    <row r="32" spans="1:5" ht="15.75" customHeight="1" x14ac:dyDescent="0.25">
      <c r="D32" s="1" t="s">
        <v>67</v>
      </c>
      <c r="E32" s="2">
        <v>0</v>
      </c>
    </row>
    <row r="33" spans="4:5" ht="15.75" customHeight="1" x14ac:dyDescent="0.25">
      <c r="D33" s="1" t="s">
        <v>68</v>
      </c>
      <c r="E33" s="2">
        <v>0</v>
      </c>
    </row>
    <row r="34" spans="4:5" ht="15.75" customHeight="1" x14ac:dyDescent="0.25">
      <c r="D34" s="1" t="s">
        <v>69</v>
      </c>
      <c r="E34" s="3">
        <f>E28 - SUM(E29:E33)</f>
        <v>205000</v>
      </c>
    </row>
    <row r="35" spans="4:5" ht="15.75" customHeight="1" x14ac:dyDescent="0.25"/>
    <row r="36" spans="4:5" ht="15.75" customHeight="1" x14ac:dyDescent="0.25"/>
    <row r="37" spans="4:5" ht="15.75" customHeight="1" x14ac:dyDescent="0.25"/>
    <row r="38" spans="4:5" ht="15.75" customHeight="1" x14ac:dyDescent="0.25"/>
    <row r="39" spans="4:5" ht="15.75" customHeight="1" x14ac:dyDescent="0.25"/>
    <row r="40" spans="4:5" ht="15.75" customHeight="1" x14ac:dyDescent="0.25"/>
    <row r="41" spans="4:5" ht="15.75" customHeight="1" x14ac:dyDescent="0.25"/>
    <row r="42" spans="4:5" ht="15.75" customHeight="1" x14ac:dyDescent="0.25"/>
    <row r="43" spans="4:5" ht="15.75" customHeight="1" x14ac:dyDescent="0.25"/>
    <row r="44" spans="4:5" ht="15.75" customHeight="1" x14ac:dyDescent="0.25"/>
    <row r="45" spans="4:5" ht="15.75" customHeight="1" x14ac:dyDescent="0.25"/>
    <row r="46" spans="4:5" ht="15.75" customHeight="1" x14ac:dyDescent="0.25"/>
    <row r="47" spans="4:5" ht="15.75" customHeight="1" x14ac:dyDescent="0.25"/>
    <row r="48" spans="4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160</v>
      </c>
      <c r="B2" s="1" t="s">
        <v>708</v>
      </c>
      <c r="C2" s="1" t="s">
        <v>7</v>
      </c>
      <c r="D2" s="1" t="s">
        <v>55</v>
      </c>
      <c r="E2" s="2">
        <v>3.5</v>
      </c>
    </row>
    <row r="3" spans="1:5" ht="15.75" x14ac:dyDescent="0.25">
      <c r="A3" s="1" t="s">
        <v>709</v>
      </c>
      <c r="B3" s="1" t="s">
        <v>708</v>
      </c>
      <c r="C3" s="1" t="s">
        <v>11</v>
      </c>
      <c r="D3" s="1" t="s">
        <v>55</v>
      </c>
      <c r="E3" s="2"/>
    </row>
    <row r="4" spans="1:5" ht="15.75" x14ac:dyDescent="0.25">
      <c r="A4" s="1" t="s">
        <v>710</v>
      </c>
      <c r="B4" s="1" t="s">
        <v>708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174</v>
      </c>
      <c r="B5" s="1" t="s">
        <v>708</v>
      </c>
      <c r="C5" s="1" t="s">
        <v>11</v>
      </c>
      <c r="D5" s="1" t="s">
        <v>55</v>
      </c>
      <c r="E5" s="2"/>
    </row>
    <row r="6" spans="1:5" ht="15.75" x14ac:dyDescent="0.25">
      <c r="A6" s="1" t="s">
        <v>692</v>
      </c>
      <c r="B6" s="1" t="s">
        <v>708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693</v>
      </c>
      <c r="B7" s="1" t="s">
        <v>708</v>
      </c>
      <c r="C7" s="1" t="s">
        <v>11</v>
      </c>
      <c r="D7" s="1" t="s">
        <v>55</v>
      </c>
      <c r="E7" s="2"/>
    </row>
    <row r="8" spans="1:5" ht="15.75" x14ac:dyDescent="0.25">
      <c r="A8" s="1" t="s">
        <v>311</v>
      </c>
      <c r="B8" s="1" t="s">
        <v>708</v>
      </c>
      <c r="C8" s="1" t="s">
        <v>7</v>
      </c>
      <c r="D8" s="1" t="s">
        <v>55</v>
      </c>
      <c r="E8" s="2">
        <v>5</v>
      </c>
    </row>
    <row r="9" spans="1:5" ht="15.75" x14ac:dyDescent="0.25">
      <c r="A9" s="1" t="s">
        <v>312</v>
      </c>
      <c r="B9" s="1" t="s">
        <v>708</v>
      </c>
      <c r="C9" s="1" t="s">
        <v>11</v>
      </c>
      <c r="D9" s="1" t="s">
        <v>55</v>
      </c>
      <c r="E9" s="2"/>
    </row>
    <row r="10" spans="1:5" ht="15.75" x14ac:dyDescent="0.25">
      <c r="A10" s="1" t="s">
        <v>498</v>
      </c>
      <c r="B10" s="1" t="s">
        <v>708</v>
      </c>
      <c r="C10" s="1" t="s">
        <v>7</v>
      </c>
      <c r="D10" s="1" t="s">
        <v>55</v>
      </c>
      <c r="E10" s="2">
        <v>5</v>
      </c>
    </row>
    <row r="11" spans="1:5" ht="15.75" x14ac:dyDescent="0.25">
      <c r="A11" s="1" t="s">
        <v>207</v>
      </c>
      <c r="E11" s="2"/>
    </row>
    <row r="12" spans="1:5" ht="15.75" x14ac:dyDescent="0.25">
      <c r="A12" s="1" t="s">
        <v>711</v>
      </c>
      <c r="B12" s="1" t="s">
        <v>708</v>
      </c>
      <c r="C12" s="1" t="s">
        <v>7</v>
      </c>
      <c r="D12" s="1" t="s">
        <v>55</v>
      </c>
      <c r="E12" s="2">
        <v>5</v>
      </c>
    </row>
    <row r="13" spans="1:5" ht="15.75" x14ac:dyDescent="0.25">
      <c r="A13" s="1" t="s">
        <v>213</v>
      </c>
      <c r="B13" s="1" t="s">
        <v>708</v>
      </c>
      <c r="C13" s="1" t="s">
        <v>11</v>
      </c>
      <c r="D13" s="1" t="s">
        <v>55</v>
      </c>
      <c r="E13" s="2"/>
    </row>
    <row r="14" spans="1:5" ht="15.75" x14ac:dyDescent="0.25">
      <c r="A14" s="1" t="s">
        <v>712</v>
      </c>
      <c r="B14" s="1" t="s">
        <v>708</v>
      </c>
      <c r="C14" s="1" t="s">
        <v>7</v>
      </c>
      <c r="D14" s="1" t="s">
        <v>55</v>
      </c>
      <c r="E14" s="2">
        <v>5</v>
      </c>
    </row>
    <row r="15" spans="1:5" ht="15.75" x14ac:dyDescent="0.25">
      <c r="A15" s="1" t="s">
        <v>124</v>
      </c>
      <c r="B15" s="1" t="s">
        <v>708</v>
      </c>
      <c r="C15" s="1" t="s">
        <v>11</v>
      </c>
      <c r="D15" s="1" t="s">
        <v>55</v>
      </c>
      <c r="E15" s="2"/>
    </row>
    <row r="16" spans="1:5" ht="15.75" x14ac:dyDescent="0.25">
      <c r="A16" s="1" t="s">
        <v>506</v>
      </c>
      <c r="B16" s="1" t="s">
        <v>708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507</v>
      </c>
      <c r="B17" s="1" t="s">
        <v>708</v>
      </c>
      <c r="C17" s="1" t="s">
        <v>11</v>
      </c>
      <c r="D17" s="1" t="s">
        <v>55</v>
      </c>
      <c r="E17" s="2"/>
    </row>
    <row r="18" spans="1:5" ht="15.75" x14ac:dyDescent="0.25">
      <c r="A18" s="1" t="s">
        <v>411</v>
      </c>
      <c r="B18" s="1" t="s">
        <v>708</v>
      </c>
      <c r="C18" s="1" t="s">
        <v>7</v>
      </c>
      <c r="D18" s="1" t="s">
        <v>55</v>
      </c>
      <c r="E18" s="2">
        <v>5</v>
      </c>
    </row>
    <row r="19" spans="1:5" ht="15.75" x14ac:dyDescent="0.25">
      <c r="A19" s="1" t="s">
        <v>128</v>
      </c>
      <c r="B19" s="1" t="s">
        <v>708</v>
      </c>
      <c r="C19" s="1" t="s">
        <v>11</v>
      </c>
      <c r="D19" s="1" t="s">
        <v>55</v>
      </c>
      <c r="E19" s="2"/>
    </row>
    <row r="20" spans="1:5" ht="15.75" x14ac:dyDescent="0.25">
      <c r="A20" s="1" t="s">
        <v>377</v>
      </c>
      <c r="B20" s="1" t="s">
        <v>708</v>
      </c>
      <c r="C20" s="1" t="s">
        <v>7</v>
      </c>
      <c r="D20" s="1" t="s">
        <v>55</v>
      </c>
      <c r="E20" s="2">
        <v>5</v>
      </c>
    </row>
    <row r="21" spans="1:5" ht="15.75" customHeight="1" x14ac:dyDescent="0.25">
      <c r="A21" s="1" t="s">
        <v>378</v>
      </c>
      <c r="B21" s="1" t="s">
        <v>708</v>
      </c>
      <c r="C21" s="1" t="s">
        <v>11</v>
      </c>
      <c r="D21" s="1" t="s">
        <v>55</v>
      </c>
      <c r="E21" s="2"/>
    </row>
    <row r="22" spans="1:5" ht="15.75" customHeight="1" x14ac:dyDescent="0.25">
      <c r="A22" s="1" t="s">
        <v>704</v>
      </c>
      <c r="B22" s="1" t="s">
        <v>708</v>
      </c>
      <c r="C22" s="1" t="s">
        <v>7</v>
      </c>
      <c r="D22" s="1" t="s">
        <v>55</v>
      </c>
      <c r="E22" s="2">
        <v>5</v>
      </c>
    </row>
    <row r="23" spans="1:5" ht="15.75" customHeight="1" x14ac:dyDescent="0.25">
      <c r="A23" s="1" t="s">
        <v>713</v>
      </c>
      <c r="B23" s="1" t="s">
        <v>708</v>
      </c>
      <c r="C23" s="1" t="s">
        <v>11</v>
      </c>
      <c r="D23" s="1" t="s">
        <v>55</v>
      </c>
      <c r="E23" s="2"/>
    </row>
    <row r="24" spans="1:5" ht="15.75" customHeight="1" x14ac:dyDescent="0.25">
      <c r="D24" s="1" t="s">
        <v>61</v>
      </c>
      <c r="E24" s="3">
        <f>SUM(E2:E23)</f>
        <v>53.5</v>
      </c>
    </row>
    <row r="25" spans="1:5" ht="15.75" customHeight="1" x14ac:dyDescent="0.25">
      <c r="D25" s="1" t="s">
        <v>62</v>
      </c>
      <c r="E25" s="2">
        <v>15000</v>
      </c>
    </row>
    <row r="26" spans="1:5" ht="15.75" customHeight="1" x14ac:dyDescent="0.25">
      <c r="D26" s="1" t="s">
        <v>63</v>
      </c>
      <c r="E26" s="1">
        <f>E24*E25</f>
        <v>802500</v>
      </c>
    </row>
    <row r="27" spans="1:5" ht="15.75" customHeight="1" x14ac:dyDescent="0.25">
      <c r="D27" s="1" t="s">
        <v>64</v>
      </c>
      <c r="E27" s="2">
        <v>0</v>
      </c>
    </row>
    <row r="28" spans="1:5" ht="15.75" customHeight="1" x14ac:dyDescent="0.25">
      <c r="D28" s="1" t="s">
        <v>65</v>
      </c>
      <c r="E28" s="2">
        <v>0</v>
      </c>
    </row>
    <row r="29" spans="1:5" ht="15.75" customHeight="1" x14ac:dyDescent="0.25">
      <c r="D29" s="1" t="s">
        <v>66</v>
      </c>
      <c r="E29" s="2">
        <v>0</v>
      </c>
    </row>
    <row r="30" spans="1:5" ht="15.75" customHeight="1" x14ac:dyDescent="0.25">
      <c r="D30" s="1" t="s">
        <v>67</v>
      </c>
      <c r="E30" s="2">
        <v>0</v>
      </c>
    </row>
    <row r="31" spans="1:5" ht="15.75" customHeight="1" x14ac:dyDescent="0.25">
      <c r="D31" s="1" t="s">
        <v>68</v>
      </c>
      <c r="E31" s="2">
        <v>0</v>
      </c>
    </row>
    <row r="32" spans="1:5" ht="15.75" customHeight="1" x14ac:dyDescent="0.25">
      <c r="D32" s="1" t="s">
        <v>69</v>
      </c>
      <c r="E32" s="3">
        <f>E26 - SUM(E27:E31)</f>
        <v>802500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624</v>
      </c>
      <c r="B2" s="1" t="s">
        <v>714</v>
      </c>
      <c r="C2" s="1" t="s">
        <v>7</v>
      </c>
      <c r="D2" s="1" t="s">
        <v>55</v>
      </c>
      <c r="E2" s="2">
        <v>5</v>
      </c>
    </row>
    <row r="3" spans="1:5" ht="15.75" x14ac:dyDescent="0.25">
      <c r="A3" s="1" t="s">
        <v>19</v>
      </c>
      <c r="B3" s="1" t="s">
        <v>714</v>
      </c>
      <c r="C3" s="1" t="s">
        <v>11</v>
      </c>
      <c r="D3" s="1" t="s">
        <v>55</v>
      </c>
      <c r="E3" s="2"/>
    </row>
    <row r="4" spans="1:5" ht="15.75" x14ac:dyDescent="0.25">
      <c r="A4" s="1" t="s">
        <v>715</v>
      </c>
      <c r="B4" s="1" t="s">
        <v>714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716</v>
      </c>
      <c r="B5" s="1" t="s">
        <v>714</v>
      </c>
      <c r="C5" s="1" t="s">
        <v>11</v>
      </c>
      <c r="D5" s="1" t="s">
        <v>55</v>
      </c>
      <c r="E5" s="2"/>
    </row>
    <row r="6" spans="1:5" ht="15.75" x14ac:dyDescent="0.25">
      <c r="A6" s="1" t="s">
        <v>277</v>
      </c>
      <c r="B6" s="1" t="s">
        <v>714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113</v>
      </c>
      <c r="B7" s="1" t="s">
        <v>714</v>
      </c>
      <c r="C7" s="1" t="s">
        <v>11</v>
      </c>
      <c r="D7" s="1" t="s">
        <v>55</v>
      </c>
      <c r="E7" s="2"/>
    </row>
    <row r="8" spans="1:5" ht="15.75" x14ac:dyDescent="0.25">
      <c r="A8" s="1" t="s">
        <v>717</v>
      </c>
      <c r="B8" s="1" t="s">
        <v>714</v>
      </c>
      <c r="C8" s="1" t="s">
        <v>7</v>
      </c>
      <c r="D8" s="1" t="s">
        <v>55</v>
      </c>
      <c r="E8" s="2">
        <v>5</v>
      </c>
    </row>
    <row r="9" spans="1:5" ht="15.75" x14ac:dyDescent="0.25">
      <c r="A9" s="1" t="s">
        <v>718</v>
      </c>
      <c r="B9" s="1" t="s">
        <v>714</v>
      </c>
      <c r="C9" s="1" t="s">
        <v>11</v>
      </c>
      <c r="D9" s="1" t="s">
        <v>55</v>
      </c>
      <c r="E9" s="2"/>
    </row>
    <row r="10" spans="1:5" ht="15.75" x14ac:dyDescent="0.25">
      <c r="A10" s="1" t="s">
        <v>719</v>
      </c>
      <c r="B10" s="1" t="s">
        <v>714</v>
      </c>
      <c r="C10" s="1" t="s">
        <v>7</v>
      </c>
      <c r="D10" s="1" t="s">
        <v>55</v>
      </c>
      <c r="E10" s="2">
        <v>5</v>
      </c>
    </row>
    <row r="11" spans="1:5" ht="15.75" x14ac:dyDescent="0.25">
      <c r="A11" s="1" t="s">
        <v>720</v>
      </c>
      <c r="B11" s="1" t="s">
        <v>714</v>
      </c>
      <c r="C11" s="1" t="s">
        <v>11</v>
      </c>
      <c r="D11" s="1" t="s">
        <v>55</v>
      </c>
      <c r="E11" s="2"/>
    </row>
    <row r="12" spans="1:5" ht="15.75" x14ac:dyDescent="0.25">
      <c r="A12" s="1" t="s">
        <v>721</v>
      </c>
      <c r="B12" s="1" t="s">
        <v>714</v>
      </c>
      <c r="C12" s="1" t="s">
        <v>7</v>
      </c>
      <c r="D12" s="1" t="s">
        <v>55</v>
      </c>
      <c r="E12" s="2">
        <v>4</v>
      </c>
    </row>
    <row r="13" spans="1:5" ht="15.75" x14ac:dyDescent="0.25">
      <c r="A13" s="1" t="s">
        <v>722</v>
      </c>
      <c r="B13" s="1" t="s">
        <v>714</v>
      </c>
      <c r="C13" s="1" t="s">
        <v>11</v>
      </c>
      <c r="D13" s="1" t="s">
        <v>55</v>
      </c>
      <c r="E13" s="2"/>
    </row>
    <row r="14" spans="1:5" ht="15.75" x14ac:dyDescent="0.25">
      <c r="A14" s="1" t="s">
        <v>723</v>
      </c>
      <c r="B14" s="1" t="s">
        <v>714</v>
      </c>
      <c r="C14" s="1" t="s">
        <v>7</v>
      </c>
      <c r="D14" s="1" t="s">
        <v>55</v>
      </c>
      <c r="E14" s="2">
        <v>5</v>
      </c>
    </row>
    <row r="15" spans="1:5" ht="15.75" x14ac:dyDescent="0.25">
      <c r="A15" s="1" t="s">
        <v>48</v>
      </c>
      <c r="B15" s="1" t="s">
        <v>714</v>
      </c>
      <c r="C15" s="1" t="s">
        <v>11</v>
      </c>
      <c r="D15" s="1" t="s">
        <v>55</v>
      </c>
      <c r="E15" s="2"/>
    </row>
    <row r="16" spans="1:5" ht="15.75" x14ac:dyDescent="0.25">
      <c r="A16" s="1" t="s">
        <v>724</v>
      </c>
      <c r="B16" s="1" t="s">
        <v>714</v>
      </c>
      <c r="C16" s="1" t="s">
        <v>7</v>
      </c>
      <c r="D16" s="1" t="s">
        <v>55</v>
      </c>
      <c r="E16" s="2">
        <v>5</v>
      </c>
    </row>
    <row r="17" spans="1:5" ht="15.75" x14ac:dyDescent="0.25">
      <c r="A17" s="1" t="s">
        <v>725</v>
      </c>
      <c r="B17" s="1" t="s">
        <v>714</v>
      </c>
      <c r="C17" s="1" t="s">
        <v>11</v>
      </c>
      <c r="D17" s="1" t="s">
        <v>55</v>
      </c>
      <c r="E17" s="2"/>
    </row>
    <row r="18" spans="1:5" ht="15.75" x14ac:dyDescent="0.25">
      <c r="D18" s="1" t="s">
        <v>61</v>
      </c>
      <c r="E18" s="3">
        <f>SUM(E2:E17)</f>
        <v>39</v>
      </c>
    </row>
    <row r="19" spans="1:5" ht="15.75" x14ac:dyDescent="0.25">
      <c r="D19" s="1" t="s">
        <v>62</v>
      </c>
      <c r="E19" s="2">
        <v>15000</v>
      </c>
    </row>
    <row r="20" spans="1:5" ht="15.75" x14ac:dyDescent="0.25">
      <c r="D20" s="1" t="s">
        <v>63</v>
      </c>
      <c r="E20" s="1">
        <f>E18*E19</f>
        <v>585000</v>
      </c>
    </row>
    <row r="21" spans="1:5" ht="15.75" customHeight="1" x14ac:dyDescent="0.25">
      <c r="D21" s="1" t="s">
        <v>64</v>
      </c>
      <c r="E21" s="2">
        <v>0</v>
      </c>
    </row>
    <row r="22" spans="1:5" ht="15.75" customHeight="1" x14ac:dyDescent="0.25">
      <c r="D22" s="1" t="s">
        <v>65</v>
      </c>
      <c r="E22" s="2">
        <v>0</v>
      </c>
    </row>
    <row r="23" spans="1:5" ht="15.75" customHeight="1" x14ac:dyDescent="0.25">
      <c r="D23" s="1" t="s">
        <v>66</v>
      </c>
      <c r="E23" s="2">
        <v>0</v>
      </c>
    </row>
    <row r="24" spans="1:5" ht="15.75" customHeight="1" x14ac:dyDescent="0.25">
      <c r="D24" s="1" t="s">
        <v>67</v>
      </c>
      <c r="E24" s="2">
        <v>0</v>
      </c>
    </row>
    <row r="25" spans="1:5" ht="15.75" customHeight="1" x14ac:dyDescent="0.25">
      <c r="D25" s="1" t="s">
        <v>68</v>
      </c>
      <c r="E25" s="2">
        <v>0</v>
      </c>
    </row>
    <row r="26" spans="1:5" ht="15.75" customHeight="1" x14ac:dyDescent="0.25">
      <c r="D26" s="1" t="s">
        <v>69</v>
      </c>
      <c r="E26" s="3">
        <f>E20 - SUM(E21:E25)</f>
        <v>585000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644</v>
      </c>
      <c r="B2" s="1" t="s">
        <v>726</v>
      </c>
      <c r="C2" s="1" t="s">
        <v>7</v>
      </c>
      <c r="D2" s="1" t="s">
        <v>8</v>
      </c>
      <c r="E2" s="2">
        <v>5</v>
      </c>
    </row>
    <row r="3" spans="1:5" ht="15.75" x14ac:dyDescent="0.25">
      <c r="A3" s="1" t="s">
        <v>727</v>
      </c>
      <c r="B3" s="1" t="s">
        <v>726</v>
      </c>
      <c r="C3" s="1" t="s">
        <v>11</v>
      </c>
      <c r="D3" s="1" t="s">
        <v>8</v>
      </c>
      <c r="E3" s="2"/>
    </row>
    <row r="4" spans="1:5" ht="15.75" x14ac:dyDescent="0.25">
      <c r="A4" s="1" t="s">
        <v>684</v>
      </c>
      <c r="B4" s="1" t="s">
        <v>726</v>
      </c>
      <c r="C4" s="1" t="s">
        <v>7</v>
      </c>
      <c r="D4" s="1" t="s">
        <v>55</v>
      </c>
      <c r="E4" s="2">
        <v>10</v>
      </c>
    </row>
    <row r="5" spans="1:5" ht="15.75" x14ac:dyDescent="0.25">
      <c r="A5" s="1" t="s">
        <v>728</v>
      </c>
      <c r="B5" s="1" t="s">
        <v>726</v>
      </c>
      <c r="C5" s="1" t="s">
        <v>11</v>
      </c>
      <c r="D5" s="1" t="s">
        <v>55</v>
      </c>
      <c r="E5" s="2"/>
    </row>
    <row r="6" spans="1:5" ht="15.75" x14ac:dyDescent="0.25">
      <c r="A6" s="1" t="s">
        <v>729</v>
      </c>
      <c r="B6" s="1" t="s">
        <v>726</v>
      </c>
      <c r="C6" s="1" t="s">
        <v>7</v>
      </c>
      <c r="D6" s="1" t="s">
        <v>8</v>
      </c>
      <c r="E6" s="2">
        <v>5</v>
      </c>
    </row>
    <row r="7" spans="1:5" ht="15.75" x14ac:dyDescent="0.25">
      <c r="A7" s="1" t="s">
        <v>730</v>
      </c>
      <c r="B7" s="1" t="s">
        <v>726</v>
      </c>
      <c r="C7" s="1" t="s">
        <v>11</v>
      </c>
      <c r="D7" s="1" t="s">
        <v>8</v>
      </c>
      <c r="E7" s="2"/>
    </row>
    <row r="8" spans="1:5" ht="15.75" x14ac:dyDescent="0.25">
      <c r="A8" s="1" t="s">
        <v>499</v>
      </c>
      <c r="B8" s="1" t="s">
        <v>726</v>
      </c>
      <c r="C8" s="1" t="s">
        <v>7</v>
      </c>
      <c r="D8" s="1" t="s">
        <v>8</v>
      </c>
      <c r="E8" s="2">
        <v>5</v>
      </c>
    </row>
    <row r="9" spans="1:5" ht="15.75" x14ac:dyDescent="0.25">
      <c r="A9" s="1" t="s">
        <v>731</v>
      </c>
      <c r="B9" s="1" t="s">
        <v>726</v>
      </c>
      <c r="C9" s="1" t="s">
        <v>11</v>
      </c>
      <c r="D9" s="1" t="s">
        <v>8</v>
      </c>
      <c r="E9" s="2"/>
    </row>
    <row r="10" spans="1:5" ht="15.75" x14ac:dyDescent="0.25">
      <c r="A10" s="1" t="s">
        <v>181</v>
      </c>
      <c r="B10" s="1" t="s">
        <v>726</v>
      </c>
      <c r="C10" s="1" t="s">
        <v>7</v>
      </c>
      <c r="D10" s="1" t="s">
        <v>8</v>
      </c>
      <c r="E10" s="2">
        <v>5</v>
      </c>
    </row>
    <row r="11" spans="1:5" ht="15.75" x14ac:dyDescent="0.25">
      <c r="A11" s="1" t="s">
        <v>435</v>
      </c>
      <c r="B11" s="1" t="s">
        <v>726</v>
      </c>
      <c r="C11" s="1" t="s">
        <v>11</v>
      </c>
      <c r="D11" s="1" t="s">
        <v>8</v>
      </c>
      <c r="E11" s="2"/>
    </row>
    <row r="12" spans="1:5" ht="15.75" x14ac:dyDescent="0.25">
      <c r="A12" s="1" t="s">
        <v>732</v>
      </c>
      <c r="B12" s="1" t="s">
        <v>726</v>
      </c>
      <c r="C12" s="1" t="s">
        <v>7</v>
      </c>
      <c r="D12" s="1" t="s">
        <v>55</v>
      </c>
      <c r="E12" s="2">
        <v>5</v>
      </c>
    </row>
    <row r="13" spans="1:5" ht="15.75" x14ac:dyDescent="0.25">
      <c r="A13" s="1" t="s">
        <v>733</v>
      </c>
      <c r="B13" s="1" t="s">
        <v>726</v>
      </c>
      <c r="C13" s="1" t="s">
        <v>11</v>
      </c>
      <c r="D13" s="1" t="s">
        <v>55</v>
      </c>
      <c r="E13" s="2"/>
    </row>
    <row r="14" spans="1:5" ht="15.75" x14ac:dyDescent="0.25">
      <c r="A14" s="1" t="s">
        <v>502</v>
      </c>
      <c r="B14" s="1" t="s">
        <v>726</v>
      </c>
      <c r="C14" s="1" t="s">
        <v>7</v>
      </c>
      <c r="D14" s="1" t="s">
        <v>55</v>
      </c>
      <c r="E14" s="2">
        <v>5</v>
      </c>
    </row>
    <row r="15" spans="1:5" ht="15.75" x14ac:dyDescent="0.25">
      <c r="A15" s="1" t="s">
        <v>734</v>
      </c>
      <c r="B15" s="1" t="s">
        <v>726</v>
      </c>
      <c r="C15" s="1" t="s">
        <v>11</v>
      </c>
      <c r="D15" s="1" t="s">
        <v>55</v>
      </c>
      <c r="E15" s="2"/>
    </row>
    <row r="16" spans="1:5" ht="15.75" x14ac:dyDescent="0.25">
      <c r="A16" s="1" t="s">
        <v>735</v>
      </c>
      <c r="B16" s="1" t="s">
        <v>726</v>
      </c>
      <c r="C16" s="1" t="s">
        <v>7</v>
      </c>
      <c r="D16" s="1" t="s">
        <v>55</v>
      </c>
      <c r="E16" s="2">
        <v>4</v>
      </c>
    </row>
    <row r="17" spans="1:5" ht="15.75" x14ac:dyDescent="0.25">
      <c r="A17" s="1" t="s">
        <v>736</v>
      </c>
      <c r="B17" s="1" t="s">
        <v>726</v>
      </c>
      <c r="C17" s="1" t="s">
        <v>11</v>
      </c>
      <c r="D17" s="1" t="s">
        <v>55</v>
      </c>
      <c r="E17" s="2"/>
    </row>
    <row r="18" spans="1:5" ht="15.75" x14ac:dyDescent="0.25">
      <c r="D18" s="1" t="s">
        <v>61</v>
      </c>
      <c r="E18" s="3">
        <f>SUM(E2:E17)</f>
        <v>44</v>
      </c>
    </row>
    <row r="19" spans="1:5" ht="15.75" x14ac:dyDescent="0.25">
      <c r="D19" s="1" t="s">
        <v>62</v>
      </c>
      <c r="E19" s="2">
        <v>15000</v>
      </c>
    </row>
    <row r="20" spans="1:5" ht="15.75" x14ac:dyDescent="0.25">
      <c r="D20" s="1" t="s">
        <v>63</v>
      </c>
      <c r="E20" s="1">
        <f>E18*E19</f>
        <v>660000</v>
      </c>
    </row>
    <row r="21" spans="1:5" ht="15.75" customHeight="1" x14ac:dyDescent="0.25">
      <c r="D21" s="1" t="s">
        <v>64</v>
      </c>
      <c r="E21" s="2">
        <v>0</v>
      </c>
    </row>
    <row r="22" spans="1:5" ht="15.75" customHeight="1" x14ac:dyDescent="0.25">
      <c r="D22" s="1" t="s">
        <v>65</v>
      </c>
      <c r="E22" s="2">
        <v>0</v>
      </c>
    </row>
    <row r="23" spans="1:5" ht="15.75" customHeight="1" x14ac:dyDescent="0.25">
      <c r="D23" s="1" t="s">
        <v>66</v>
      </c>
      <c r="E23" s="2">
        <v>0</v>
      </c>
    </row>
    <row r="24" spans="1:5" ht="15.75" customHeight="1" x14ac:dyDescent="0.25">
      <c r="D24" s="1" t="s">
        <v>67</v>
      </c>
      <c r="E24" s="2">
        <v>0</v>
      </c>
    </row>
    <row r="25" spans="1:5" ht="15.75" customHeight="1" x14ac:dyDescent="0.25">
      <c r="D25" s="1" t="s">
        <v>68</v>
      </c>
      <c r="E25" s="2">
        <v>0</v>
      </c>
    </row>
    <row r="26" spans="1:5" ht="15.75" customHeight="1" x14ac:dyDescent="0.25">
      <c r="D26" s="1" t="s">
        <v>69</v>
      </c>
      <c r="E26" s="3">
        <f>E20 - SUM(E21:E25)</f>
        <v>660000</v>
      </c>
    </row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220</v>
      </c>
      <c r="B2" s="1" t="s">
        <v>737</v>
      </c>
      <c r="C2" s="1" t="s">
        <v>7</v>
      </c>
      <c r="D2" s="1" t="s">
        <v>97</v>
      </c>
      <c r="E2" s="2">
        <v>5</v>
      </c>
    </row>
    <row r="3" spans="1:5" ht="15.75" x14ac:dyDescent="0.25">
      <c r="A3" s="1" t="s">
        <v>373</v>
      </c>
      <c r="B3" s="1" t="s">
        <v>737</v>
      </c>
      <c r="C3" s="1" t="s">
        <v>11</v>
      </c>
      <c r="D3" s="1" t="s">
        <v>97</v>
      </c>
      <c r="E3" s="2"/>
    </row>
    <row r="4" spans="1:5" ht="15.75" x14ac:dyDescent="0.25">
      <c r="A4" s="1" t="s">
        <v>416</v>
      </c>
      <c r="B4" s="1" t="s">
        <v>737</v>
      </c>
      <c r="C4" s="1" t="s">
        <v>7</v>
      </c>
      <c r="D4" s="1" t="s">
        <v>97</v>
      </c>
      <c r="E4" s="2">
        <v>5</v>
      </c>
    </row>
    <row r="5" spans="1:5" ht="15.75" x14ac:dyDescent="0.25">
      <c r="A5" s="1" t="s">
        <v>540</v>
      </c>
      <c r="B5" s="1" t="s">
        <v>737</v>
      </c>
      <c r="C5" s="1" t="s">
        <v>11</v>
      </c>
      <c r="D5" s="1" t="s">
        <v>97</v>
      </c>
      <c r="E5" s="2"/>
    </row>
    <row r="6" spans="1:5" ht="15.75" x14ac:dyDescent="0.25">
      <c r="A6" s="1" t="s">
        <v>738</v>
      </c>
      <c r="B6" s="1" t="s">
        <v>737</v>
      </c>
      <c r="C6" s="1" t="s">
        <v>7</v>
      </c>
      <c r="D6" s="1" t="s">
        <v>97</v>
      </c>
      <c r="E6" s="2">
        <v>5</v>
      </c>
    </row>
    <row r="7" spans="1:5" ht="15.75" x14ac:dyDescent="0.25">
      <c r="A7" s="1" t="s">
        <v>739</v>
      </c>
      <c r="B7" s="1" t="s">
        <v>737</v>
      </c>
      <c r="C7" s="1" t="s">
        <v>11</v>
      </c>
      <c r="D7" s="1" t="s">
        <v>97</v>
      </c>
      <c r="E7" s="2"/>
    </row>
    <row r="8" spans="1:5" ht="15.75" x14ac:dyDescent="0.25">
      <c r="D8" s="1" t="s">
        <v>61</v>
      </c>
      <c r="E8" s="3">
        <f>SUM(E2:E7)</f>
        <v>15</v>
      </c>
    </row>
    <row r="9" spans="1:5" ht="15.75" x14ac:dyDescent="0.25">
      <c r="D9" s="1" t="s">
        <v>62</v>
      </c>
      <c r="E9" s="2">
        <v>15000</v>
      </c>
    </row>
    <row r="10" spans="1:5" ht="15.75" x14ac:dyDescent="0.25">
      <c r="D10" s="1" t="s">
        <v>63</v>
      </c>
      <c r="E10" s="1">
        <f>E8*E9</f>
        <v>225000</v>
      </c>
    </row>
    <row r="11" spans="1:5" ht="15.75" x14ac:dyDescent="0.25">
      <c r="D11" s="1" t="s">
        <v>64</v>
      </c>
      <c r="E11" s="2">
        <v>0</v>
      </c>
    </row>
    <row r="12" spans="1:5" ht="15.75" x14ac:dyDescent="0.25">
      <c r="D12" s="1" t="s">
        <v>65</v>
      </c>
      <c r="E12" s="2">
        <v>0</v>
      </c>
    </row>
    <row r="13" spans="1:5" ht="15.75" x14ac:dyDescent="0.25">
      <c r="D13" s="1" t="s">
        <v>66</v>
      </c>
      <c r="E13" s="2">
        <v>0</v>
      </c>
    </row>
    <row r="14" spans="1:5" ht="15.75" x14ac:dyDescent="0.25">
      <c r="D14" s="1" t="s">
        <v>67</v>
      </c>
      <c r="E14" s="2">
        <v>0</v>
      </c>
    </row>
    <row r="15" spans="1:5" ht="15.75" x14ac:dyDescent="0.25">
      <c r="D15" s="1" t="s">
        <v>68</v>
      </c>
      <c r="E15" s="2">
        <v>0</v>
      </c>
    </row>
    <row r="16" spans="1:5" ht="15.75" x14ac:dyDescent="0.25">
      <c r="D16" s="1" t="s">
        <v>69</v>
      </c>
      <c r="E16" s="3">
        <f>E10 - SUM(E11:E15)</f>
        <v>225000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740</v>
      </c>
      <c r="B2" s="1" t="s">
        <v>741</v>
      </c>
      <c r="C2" s="1" t="s">
        <v>7</v>
      </c>
      <c r="D2" s="1" t="s">
        <v>97</v>
      </c>
      <c r="E2" s="2">
        <v>5</v>
      </c>
    </row>
    <row r="3" spans="1:5" ht="15.75" x14ac:dyDescent="0.25">
      <c r="A3" s="1" t="s">
        <v>133</v>
      </c>
      <c r="B3" s="1" t="s">
        <v>741</v>
      </c>
      <c r="C3" s="1" t="s">
        <v>11</v>
      </c>
      <c r="D3" s="1" t="s">
        <v>97</v>
      </c>
      <c r="E3" s="2"/>
    </row>
    <row r="4" spans="1:5" ht="15.75" x14ac:dyDescent="0.25">
      <c r="A4" s="1" t="s">
        <v>50</v>
      </c>
      <c r="B4" s="1" t="s">
        <v>741</v>
      </c>
      <c r="C4" s="1" t="s">
        <v>7</v>
      </c>
      <c r="D4" s="1" t="s">
        <v>13</v>
      </c>
      <c r="E4" s="2">
        <v>5</v>
      </c>
    </row>
    <row r="5" spans="1:5" ht="15.75" x14ac:dyDescent="0.25">
      <c r="A5" s="1" t="s">
        <v>742</v>
      </c>
      <c r="B5" s="1" t="s">
        <v>741</v>
      </c>
      <c r="C5" s="1" t="s">
        <v>11</v>
      </c>
      <c r="D5" s="1" t="s">
        <v>13</v>
      </c>
      <c r="E5" s="2"/>
    </row>
    <row r="6" spans="1:5" ht="15.75" x14ac:dyDescent="0.25">
      <c r="A6" s="1" t="s">
        <v>665</v>
      </c>
      <c r="B6" s="1" t="s">
        <v>741</v>
      </c>
      <c r="C6" s="1" t="s">
        <v>7</v>
      </c>
      <c r="D6" s="1" t="s">
        <v>97</v>
      </c>
      <c r="E6" s="2">
        <v>5</v>
      </c>
    </row>
    <row r="7" spans="1:5" ht="15.75" x14ac:dyDescent="0.25">
      <c r="A7" s="1" t="s">
        <v>328</v>
      </c>
      <c r="B7" s="1" t="s">
        <v>741</v>
      </c>
      <c r="C7" s="1" t="s">
        <v>11</v>
      </c>
      <c r="D7" s="1" t="s">
        <v>97</v>
      </c>
      <c r="E7" s="2"/>
    </row>
    <row r="8" spans="1:5" ht="15.75" x14ac:dyDescent="0.25">
      <c r="A8" s="1" t="s">
        <v>743</v>
      </c>
      <c r="B8" s="1" t="s">
        <v>741</v>
      </c>
      <c r="C8" s="1" t="s">
        <v>7</v>
      </c>
      <c r="D8" s="1" t="s">
        <v>97</v>
      </c>
      <c r="E8" s="2">
        <v>5</v>
      </c>
    </row>
    <row r="9" spans="1:5" ht="15.75" x14ac:dyDescent="0.25">
      <c r="A9" s="1" t="s">
        <v>142</v>
      </c>
      <c r="B9" s="1" t="s">
        <v>741</v>
      </c>
      <c r="C9" s="1" t="s">
        <v>11</v>
      </c>
      <c r="D9" s="1" t="s">
        <v>97</v>
      </c>
      <c r="E9" s="2"/>
    </row>
    <row r="10" spans="1:5" ht="15.75" x14ac:dyDescent="0.25">
      <c r="A10" s="1" t="s">
        <v>744</v>
      </c>
      <c r="B10" s="1" t="s">
        <v>741</v>
      </c>
      <c r="C10" s="1" t="s">
        <v>7</v>
      </c>
      <c r="D10" s="1" t="s">
        <v>97</v>
      </c>
      <c r="E10" s="2">
        <v>5</v>
      </c>
    </row>
    <row r="11" spans="1:5" ht="15.75" x14ac:dyDescent="0.25">
      <c r="A11" s="1" t="s">
        <v>226</v>
      </c>
      <c r="B11" s="1" t="s">
        <v>741</v>
      </c>
      <c r="C11" s="1" t="s">
        <v>11</v>
      </c>
      <c r="D11" s="1" t="s">
        <v>97</v>
      </c>
      <c r="E11" s="2"/>
    </row>
    <row r="12" spans="1:5" ht="15.75" x14ac:dyDescent="0.25">
      <c r="A12" s="1" t="s">
        <v>514</v>
      </c>
      <c r="B12" s="1" t="s">
        <v>741</v>
      </c>
      <c r="C12" s="1" t="s">
        <v>7</v>
      </c>
      <c r="D12" s="1" t="s">
        <v>97</v>
      </c>
      <c r="E12" s="2">
        <v>5</v>
      </c>
    </row>
    <row r="13" spans="1:5" ht="15.75" x14ac:dyDescent="0.25">
      <c r="A13" s="1" t="s">
        <v>336</v>
      </c>
      <c r="B13" s="1" t="s">
        <v>741</v>
      </c>
      <c r="C13" s="1" t="s">
        <v>11</v>
      </c>
      <c r="D13" s="1" t="s">
        <v>97</v>
      </c>
      <c r="E13" s="2"/>
    </row>
    <row r="14" spans="1:5" ht="15.75" x14ac:dyDescent="0.25">
      <c r="D14" s="1" t="s">
        <v>61</v>
      </c>
      <c r="E14" s="3">
        <f>SUM(E2:E13)</f>
        <v>30</v>
      </c>
    </row>
    <row r="15" spans="1:5" ht="15.75" x14ac:dyDescent="0.25">
      <c r="D15" s="1" t="s">
        <v>62</v>
      </c>
      <c r="E15" s="2">
        <v>15000</v>
      </c>
    </row>
    <row r="16" spans="1:5" ht="15.75" x14ac:dyDescent="0.25">
      <c r="D16" s="1" t="s">
        <v>63</v>
      </c>
      <c r="E16" s="1">
        <f>E14*E15</f>
        <v>450000</v>
      </c>
    </row>
    <row r="17" spans="4:5" ht="15.75" x14ac:dyDescent="0.25">
      <c r="D17" s="1" t="s">
        <v>64</v>
      </c>
      <c r="E17" s="2">
        <v>0</v>
      </c>
    </row>
    <row r="18" spans="4:5" ht="15.75" x14ac:dyDescent="0.25">
      <c r="D18" s="1" t="s">
        <v>65</v>
      </c>
      <c r="E18" s="2">
        <v>0</v>
      </c>
    </row>
    <row r="19" spans="4:5" ht="15.75" x14ac:dyDescent="0.25">
      <c r="D19" s="1" t="s">
        <v>66</v>
      </c>
      <c r="E19" s="2">
        <v>0</v>
      </c>
    </row>
    <row r="20" spans="4:5" ht="15.75" x14ac:dyDescent="0.25">
      <c r="D20" s="1" t="s">
        <v>67</v>
      </c>
      <c r="E20" s="2">
        <v>0</v>
      </c>
    </row>
    <row r="21" spans="4:5" ht="15.75" customHeight="1" x14ac:dyDescent="0.25">
      <c r="D21" s="1" t="s">
        <v>68</v>
      </c>
      <c r="E21" s="2">
        <v>0</v>
      </c>
    </row>
    <row r="22" spans="4:5" ht="15.75" customHeight="1" x14ac:dyDescent="0.25">
      <c r="D22" s="1" t="s">
        <v>69</v>
      </c>
      <c r="E22" s="3">
        <f>E16 - SUM(E17:E21)</f>
        <v>450000</v>
      </c>
    </row>
    <row r="23" spans="4:5" ht="15.75" customHeight="1" x14ac:dyDescent="0.25"/>
    <row r="24" spans="4:5" ht="15.75" customHeight="1" x14ac:dyDescent="0.25"/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745</v>
      </c>
      <c r="B2" s="1" t="s">
        <v>746</v>
      </c>
      <c r="C2" s="1" t="s">
        <v>7</v>
      </c>
      <c r="D2" s="1" t="s">
        <v>55</v>
      </c>
      <c r="E2" s="2">
        <v>5</v>
      </c>
    </row>
    <row r="3" spans="1:5" ht="15.75" x14ac:dyDescent="0.25">
      <c r="A3" s="1" t="s">
        <v>686</v>
      </c>
      <c r="B3" s="1" t="s">
        <v>746</v>
      </c>
      <c r="C3" s="1" t="s">
        <v>11</v>
      </c>
      <c r="D3" s="1" t="s">
        <v>55</v>
      </c>
      <c r="E3" s="2"/>
    </row>
    <row r="4" spans="1:5" ht="15.75" x14ac:dyDescent="0.25">
      <c r="A4" s="1" t="s">
        <v>747</v>
      </c>
      <c r="B4" s="1" t="s">
        <v>746</v>
      </c>
      <c r="C4" s="1" t="s">
        <v>7</v>
      </c>
      <c r="D4" s="1" t="s">
        <v>55</v>
      </c>
      <c r="E4" s="2">
        <v>5</v>
      </c>
    </row>
    <row r="5" spans="1:5" ht="15.75" x14ac:dyDescent="0.25">
      <c r="A5" s="1" t="s">
        <v>748</v>
      </c>
      <c r="B5" s="1" t="s">
        <v>746</v>
      </c>
      <c r="C5" s="1" t="s">
        <v>11</v>
      </c>
      <c r="D5" s="1" t="s">
        <v>55</v>
      </c>
      <c r="E5" s="2"/>
    </row>
    <row r="6" spans="1:5" ht="15.75" x14ac:dyDescent="0.25">
      <c r="A6" s="1" t="s">
        <v>749</v>
      </c>
      <c r="B6" s="1" t="s">
        <v>746</v>
      </c>
      <c r="C6" s="1" t="s">
        <v>7</v>
      </c>
      <c r="D6" s="1" t="s">
        <v>55</v>
      </c>
      <c r="E6" s="2">
        <v>5</v>
      </c>
    </row>
    <row r="7" spans="1:5" ht="15.75" x14ac:dyDescent="0.25">
      <c r="A7" s="1" t="s">
        <v>544</v>
      </c>
      <c r="B7" s="1" t="s">
        <v>746</v>
      </c>
      <c r="C7" s="1" t="s">
        <v>11</v>
      </c>
      <c r="D7" s="1" t="s">
        <v>55</v>
      </c>
      <c r="E7" s="2"/>
    </row>
    <row r="8" spans="1:5" ht="15.75" x14ac:dyDescent="0.25">
      <c r="D8" s="1" t="s">
        <v>61</v>
      </c>
      <c r="E8" s="3">
        <f>SUM(E2:E7)</f>
        <v>15</v>
      </c>
    </row>
    <row r="9" spans="1:5" ht="15.75" x14ac:dyDescent="0.25">
      <c r="D9" s="1" t="s">
        <v>62</v>
      </c>
      <c r="E9" s="2">
        <v>15000</v>
      </c>
    </row>
    <row r="10" spans="1:5" ht="15.75" x14ac:dyDescent="0.25">
      <c r="D10" s="1" t="s">
        <v>63</v>
      </c>
      <c r="E10" s="1">
        <f>E8*E9</f>
        <v>225000</v>
      </c>
    </row>
    <row r="11" spans="1:5" ht="15.75" x14ac:dyDescent="0.25">
      <c r="D11" s="1" t="s">
        <v>64</v>
      </c>
      <c r="E11" s="2">
        <v>0</v>
      </c>
    </row>
    <row r="12" spans="1:5" ht="15.75" x14ac:dyDescent="0.25">
      <c r="D12" s="1" t="s">
        <v>65</v>
      </c>
      <c r="E12" s="2">
        <v>0</v>
      </c>
    </row>
    <row r="13" spans="1:5" ht="15.75" x14ac:dyDescent="0.25">
      <c r="D13" s="1" t="s">
        <v>66</v>
      </c>
      <c r="E13" s="2">
        <v>0</v>
      </c>
    </row>
    <row r="14" spans="1:5" ht="15.75" x14ac:dyDescent="0.25">
      <c r="D14" s="1" t="s">
        <v>67</v>
      </c>
      <c r="E14" s="2">
        <v>0</v>
      </c>
    </row>
    <row r="15" spans="1:5" ht="15.75" x14ac:dyDescent="0.25">
      <c r="D15" s="1" t="s">
        <v>68</v>
      </c>
      <c r="E15" s="2">
        <v>0</v>
      </c>
    </row>
    <row r="16" spans="1:5" ht="15.75" x14ac:dyDescent="0.25">
      <c r="D16" s="1" t="s">
        <v>69</v>
      </c>
      <c r="E16" s="3">
        <f>E10 - SUM(E11:E15)</f>
        <v>225000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374</v>
      </c>
      <c r="B2" s="1" t="s">
        <v>375</v>
      </c>
      <c r="C2" s="1" t="s">
        <v>7</v>
      </c>
      <c r="D2" s="1" t="s">
        <v>97</v>
      </c>
      <c r="E2" s="2">
        <v>5</v>
      </c>
    </row>
    <row r="3" spans="1:5" ht="15.75" x14ac:dyDescent="0.25">
      <c r="A3" s="1" t="s">
        <v>137</v>
      </c>
      <c r="B3" s="1" t="s">
        <v>375</v>
      </c>
      <c r="C3" s="1" t="s">
        <v>11</v>
      </c>
      <c r="D3" s="1" t="s">
        <v>97</v>
      </c>
      <c r="E3" s="2"/>
    </row>
    <row r="4" spans="1:5" ht="15.75" x14ac:dyDescent="0.25">
      <c r="A4" s="1" t="s">
        <v>376</v>
      </c>
      <c r="B4" s="1" t="s">
        <v>375</v>
      </c>
      <c r="C4" s="1" t="s">
        <v>7</v>
      </c>
      <c r="D4" s="1" t="s">
        <v>97</v>
      </c>
      <c r="E4" s="2">
        <v>5</v>
      </c>
    </row>
    <row r="5" spans="1:5" ht="15.75" x14ac:dyDescent="0.25">
      <c r="A5" s="1" t="s">
        <v>332</v>
      </c>
      <c r="B5" s="1" t="s">
        <v>375</v>
      </c>
      <c r="C5" s="1" t="s">
        <v>11</v>
      </c>
      <c r="D5" s="1" t="s">
        <v>97</v>
      </c>
      <c r="E5" s="2"/>
    </row>
    <row r="6" spans="1:5" ht="15.75" x14ac:dyDescent="0.25">
      <c r="A6" s="1" t="s">
        <v>138</v>
      </c>
      <c r="E6" s="2">
        <v>5</v>
      </c>
    </row>
    <row r="7" spans="1:5" ht="15.75" x14ac:dyDescent="0.25">
      <c r="A7" s="1" t="s">
        <v>377</v>
      </c>
      <c r="B7" s="1" t="s">
        <v>375</v>
      </c>
      <c r="C7" s="1" t="s">
        <v>11</v>
      </c>
      <c r="D7" s="1" t="s">
        <v>97</v>
      </c>
      <c r="E7" s="2"/>
    </row>
    <row r="8" spans="1:5" ht="15.75" x14ac:dyDescent="0.25">
      <c r="A8" s="1" t="s">
        <v>377</v>
      </c>
      <c r="B8" s="1" t="s">
        <v>375</v>
      </c>
      <c r="C8" s="1" t="s">
        <v>7</v>
      </c>
      <c r="D8" s="1" t="s">
        <v>97</v>
      </c>
      <c r="E8" s="2">
        <v>5</v>
      </c>
    </row>
    <row r="9" spans="1:5" ht="15.75" x14ac:dyDescent="0.25">
      <c r="A9" s="1" t="s">
        <v>378</v>
      </c>
      <c r="B9" s="1" t="s">
        <v>375</v>
      </c>
      <c r="C9" s="1" t="s">
        <v>11</v>
      </c>
      <c r="D9" s="1" t="s">
        <v>97</v>
      </c>
      <c r="E9" s="2"/>
    </row>
    <row r="10" spans="1:5" ht="15.75" x14ac:dyDescent="0.25">
      <c r="A10" s="1" t="s">
        <v>379</v>
      </c>
      <c r="B10" s="1" t="s">
        <v>375</v>
      </c>
      <c r="C10" s="1" t="s">
        <v>7</v>
      </c>
      <c r="D10" s="1" t="s">
        <v>13</v>
      </c>
      <c r="E10" s="2">
        <v>5</v>
      </c>
    </row>
    <row r="11" spans="1:5" ht="15.75" x14ac:dyDescent="0.25">
      <c r="A11" s="1" t="s">
        <v>56</v>
      </c>
      <c r="B11" s="1" t="s">
        <v>375</v>
      </c>
      <c r="C11" s="1" t="s">
        <v>11</v>
      </c>
      <c r="D11" s="1" t="s">
        <v>13</v>
      </c>
      <c r="E11" s="2"/>
    </row>
    <row r="12" spans="1:5" ht="15.75" x14ac:dyDescent="0.25">
      <c r="A12" s="1" t="s">
        <v>380</v>
      </c>
      <c r="B12" s="1" t="s">
        <v>375</v>
      </c>
      <c r="C12" s="1" t="s">
        <v>7</v>
      </c>
      <c r="D12" s="1" t="s">
        <v>97</v>
      </c>
      <c r="E12" s="2">
        <v>5</v>
      </c>
    </row>
    <row r="13" spans="1:5" ht="15.75" x14ac:dyDescent="0.25">
      <c r="A13" s="1" t="s">
        <v>335</v>
      </c>
      <c r="B13" s="1" t="s">
        <v>375</v>
      </c>
      <c r="C13" s="1" t="s">
        <v>11</v>
      </c>
      <c r="D13" s="1" t="s">
        <v>97</v>
      </c>
      <c r="E13" s="2"/>
    </row>
    <row r="14" spans="1:5" ht="15.75" x14ac:dyDescent="0.25">
      <c r="D14" s="1" t="s">
        <v>61</v>
      </c>
      <c r="E14" s="3">
        <f>SUM(E2:E13)</f>
        <v>30</v>
      </c>
    </row>
    <row r="15" spans="1:5" ht="15.75" x14ac:dyDescent="0.25">
      <c r="D15" s="1" t="s">
        <v>62</v>
      </c>
      <c r="E15" s="2">
        <v>15000</v>
      </c>
    </row>
    <row r="16" spans="1:5" ht="15.75" x14ac:dyDescent="0.25">
      <c r="D16" s="1" t="s">
        <v>63</v>
      </c>
      <c r="E16" s="1">
        <f>E14*E15</f>
        <v>450000</v>
      </c>
    </row>
    <row r="17" spans="4:5" ht="15.75" x14ac:dyDescent="0.25">
      <c r="D17" s="1" t="s">
        <v>64</v>
      </c>
      <c r="E17" s="2">
        <v>0</v>
      </c>
    </row>
    <row r="18" spans="4:5" ht="15.75" x14ac:dyDescent="0.25">
      <c r="D18" s="1" t="s">
        <v>65</v>
      </c>
      <c r="E18" s="2">
        <v>0</v>
      </c>
    </row>
    <row r="19" spans="4:5" ht="15.75" x14ac:dyDescent="0.25">
      <c r="D19" s="1" t="s">
        <v>66</v>
      </c>
      <c r="E19" s="2">
        <v>0</v>
      </c>
    </row>
    <row r="20" spans="4:5" ht="15.75" x14ac:dyDescent="0.25">
      <c r="D20" s="1" t="s">
        <v>67</v>
      </c>
      <c r="E20" s="2">
        <v>0</v>
      </c>
    </row>
    <row r="21" spans="4:5" ht="15.75" customHeight="1" x14ac:dyDescent="0.25">
      <c r="D21" s="1" t="s">
        <v>68</v>
      </c>
      <c r="E21" s="2">
        <v>0</v>
      </c>
    </row>
    <row r="22" spans="4:5" ht="15.75" customHeight="1" x14ac:dyDescent="0.25">
      <c r="D22" s="1" t="s">
        <v>69</v>
      </c>
      <c r="E22" s="3">
        <f>E16 - SUM(E17:E21)</f>
        <v>450000</v>
      </c>
    </row>
    <row r="23" spans="4:5" ht="15.75" customHeight="1" x14ac:dyDescent="0.25"/>
    <row r="24" spans="4:5" ht="15.75" customHeight="1" x14ac:dyDescent="0.25"/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750</v>
      </c>
      <c r="B2" s="1" t="s">
        <v>751</v>
      </c>
      <c r="C2" s="1" t="s">
        <v>7</v>
      </c>
      <c r="D2" s="1" t="s">
        <v>55</v>
      </c>
      <c r="E2" s="2">
        <v>4.5</v>
      </c>
    </row>
    <row r="3" spans="1:5" ht="15.75" x14ac:dyDescent="0.25">
      <c r="A3" s="1" t="s">
        <v>752</v>
      </c>
      <c r="B3" s="1" t="s">
        <v>751</v>
      </c>
      <c r="C3" s="1" t="s">
        <v>11</v>
      </c>
      <c r="D3" s="1" t="s">
        <v>55</v>
      </c>
      <c r="E3" s="2"/>
    </row>
    <row r="4" spans="1:5" ht="15.75" x14ac:dyDescent="0.25">
      <c r="D4" s="1" t="s">
        <v>61</v>
      </c>
      <c r="E4" s="3">
        <f>SUM(E2:E3)</f>
        <v>4.5</v>
      </c>
    </row>
    <row r="5" spans="1:5" ht="15.75" x14ac:dyDescent="0.25">
      <c r="D5" s="1" t="s">
        <v>62</v>
      </c>
      <c r="E5" s="2">
        <v>15000</v>
      </c>
    </row>
    <row r="6" spans="1:5" ht="15.75" x14ac:dyDescent="0.25">
      <c r="D6" s="1" t="s">
        <v>63</v>
      </c>
      <c r="E6" s="1">
        <f>E4*E5</f>
        <v>67500</v>
      </c>
    </row>
    <row r="7" spans="1:5" ht="15.75" x14ac:dyDescent="0.25">
      <c r="D7" s="1" t="s">
        <v>64</v>
      </c>
      <c r="E7" s="2">
        <v>0</v>
      </c>
    </row>
    <row r="8" spans="1:5" ht="15.75" x14ac:dyDescent="0.25">
      <c r="D8" s="1" t="s">
        <v>65</v>
      </c>
      <c r="E8" s="2">
        <v>0</v>
      </c>
    </row>
    <row r="9" spans="1:5" ht="15.75" x14ac:dyDescent="0.25">
      <c r="D9" s="1" t="s">
        <v>66</v>
      </c>
      <c r="E9" s="2">
        <v>0</v>
      </c>
    </row>
    <row r="10" spans="1:5" ht="15.75" x14ac:dyDescent="0.25">
      <c r="D10" s="1" t="s">
        <v>67</v>
      </c>
      <c r="E10" s="2">
        <v>0</v>
      </c>
    </row>
    <row r="11" spans="1:5" ht="15.75" x14ac:dyDescent="0.25">
      <c r="D11" s="1" t="s">
        <v>68</v>
      </c>
      <c r="E11" s="2">
        <v>0</v>
      </c>
    </row>
    <row r="12" spans="1:5" ht="15.75" x14ac:dyDescent="0.25">
      <c r="D12" s="1" t="s">
        <v>69</v>
      </c>
      <c r="E12" s="3">
        <f>E6 - SUM(E7:E11)</f>
        <v>67500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000"/>
  <sheetViews>
    <sheetView workbookViewId="0"/>
  </sheetViews>
  <sheetFormatPr defaultColWidth="11.125" defaultRowHeight="15" customHeight="1" x14ac:dyDescent="0.25"/>
  <cols>
    <col min="1" max="1" width="15.875" customWidth="1"/>
    <col min="2" max="2" width="20.875" customWidth="1"/>
    <col min="3" max="3" width="25.875" customWidth="1"/>
    <col min="4" max="4" width="20.875" customWidth="1"/>
    <col min="5" max="5" width="15.87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1" t="s">
        <v>753</v>
      </c>
      <c r="B2" s="1" t="s">
        <v>754</v>
      </c>
      <c r="C2" s="1" t="s">
        <v>7</v>
      </c>
      <c r="D2" s="1" t="s">
        <v>8</v>
      </c>
      <c r="E2" s="2">
        <v>5</v>
      </c>
    </row>
    <row r="3" spans="1:5" ht="15.75" x14ac:dyDescent="0.25">
      <c r="A3" s="1" t="s">
        <v>755</v>
      </c>
      <c r="B3" s="1" t="s">
        <v>754</v>
      </c>
      <c r="C3" s="1" t="s">
        <v>11</v>
      </c>
      <c r="D3" s="1" t="s">
        <v>8</v>
      </c>
      <c r="E3" s="2"/>
    </row>
    <row r="4" spans="1:5" ht="15.75" x14ac:dyDescent="0.25">
      <c r="A4" s="1" t="s">
        <v>756</v>
      </c>
      <c r="B4" s="1" t="s">
        <v>754</v>
      </c>
      <c r="C4" s="1" t="s">
        <v>7</v>
      </c>
      <c r="D4" s="1" t="s">
        <v>13</v>
      </c>
      <c r="E4" s="2">
        <v>5</v>
      </c>
    </row>
    <row r="5" spans="1:5" ht="15.75" x14ac:dyDescent="0.25">
      <c r="A5" s="1" t="s">
        <v>450</v>
      </c>
      <c r="B5" s="1" t="s">
        <v>754</v>
      </c>
      <c r="C5" s="1" t="s">
        <v>11</v>
      </c>
      <c r="D5" s="1" t="s">
        <v>13</v>
      </c>
      <c r="E5" s="2"/>
    </row>
    <row r="6" spans="1:5" ht="15.75" x14ac:dyDescent="0.25">
      <c r="A6" s="1" t="s">
        <v>757</v>
      </c>
      <c r="B6" s="1" t="s">
        <v>754</v>
      </c>
      <c r="C6" s="1" t="s">
        <v>7</v>
      </c>
      <c r="D6" s="1" t="s">
        <v>8</v>
      </c>
      <c r="E6" s="2">
        <v>5</v>
      </c>
    </row>
    <row r="7" spans="1:5" ht="15.75" x14ac:dyDescent="0.25">
      <c r="A7" s="1" t="s">
        <v>758</v>
      </c>
      <c r="B7" s="1" t="s">
        <v>754</v>
      </c>
      <c r="C7" s="1" t="s">
        <v>11</v>
      </c>
      <c r="D7" s="1" t="s">
        <v>8</v>
      </c>
      <c r="E7" s="2"/>
    </row>
    <row r="8" spans="1:5" ht="15.75" x14ac:dyDescent="0.25">
      <c r="A8" s="1" t="s">
        <v>704</v>
      </c>
      <c r="B8" s="1" t="s">
        <v>754</v>
      </c>
      <c r="C8" s="1" t="s">
        <v>7</v>
      </c>
      <c r="D8" s="1" t="s">
        <v>13</v>
      </c>
      <c r="E8" s="2">
        <v>5</v>
      </c>
    </row>
    <row r="9" spans="1:5" ht="15.75" x14ac:dyDescent="0.25">
      <c r="A9" s="1" t="s">
        <v>713</v>
      </c>
      <c r="B9" s="1" t="s">
        <v>754</v>
      </c>
      <c r="C9" s="1" t="s">
        <v>11</v>
      </c>
      <c r="D9" s="1" t="s">
        <v>13</v>
      </c>
      <c r="E9" s="2"/>
    </row>
    <row r="10" spans="1:5" ht="15.75" x14ac:dyDescent="0.25">
      <c r="D10" s="1" t="s">
        <v>61</v>
      </c>
      <c r="E10" s="3">
        <f>SUM(E2:E9)</f>
        <v>20</v>
      </c>
    </row>
    <row r="11" spans="1:5" ht="15.75" x14ac:dyDescent="0.25">
      <c r="D11" s="1" t="s">
        <v>62</v>
      </c>
      <c r="E11" s="2">
        <v>15000</v>
      </c>
    </row>
    <row r="12" spans="1:5" ht="15.75" x14ac:dyDescent="0.25">
      <c r="D12" s="1" t="s">
        <v>63</v>
      </c>
      <c r="E12" s="1">
        <f>E10*E11</f>
        <v>300000</v>
      </c>
    </row>
    <row r="13" spans="1:5" ht="15.75" x14ac:dyDescent="0.25">
      <c r="D13" s="1" t="s">
        <v>64</v>
      </c>
      <c r="E13" s="2">
        <v>0</v>
      </c>
    </row>
    <row r="14" spans="1:5" ht="15.75" x14ac:dyDescent="0.25">
      <c r="D14" s="1" t="s">
        <v>65</v>
      </c>
      <c r="E14" s="2">
        <v>0</v>
      </c>
    </row>
    <row r="15" spans="1:5" ht="15.75" x14ac:dyDescent="0.25">
      <c r="D15" s="1" t="s">
        <v>66</v>
      </c>
      <c r="E15" s="2">
        <v>0</v>
      </c>
    </row>
    <row r="16" spans="1:5" ht="15.75" x14ac:dyDescent="0.25">
      <c r="D16" s="1" t="s">
        <v>67</v>
      </c>
      <c r="E16" s="2">
        <v>0</v>
      </c>
    </row>
    <row r="17" spans="4:5" ht="15.75" x14ac:dyDescent="0.25">
      <c r="D17" s="1" t="s">
        <v>68</v>
      </c>
      <c r="E17" s="2">
        <v>0</v>
      </c>
    </row>
    <row r="18" spans="4:5" ht="15.75" x14ac:dyDescent="0.25">
      <c r="D18" s="1" t="s">
        <v>69</v>
      </c>
      <c r="E18" s="3">
        <f>E12 - SUM(E13:E17)</f>
        <v>300000</v>
      </c>
    </row>
    <row r="21" spans="4:5" ht="15.75" customHeight="1" x14ac:dyDescent="0.25"/>
    <row r="22" spans="4:5" ht="15.75" customHeight="1" x14ac:dyDescent="0.25"/>
    <row r="23" spans="4:5" ht="15.75" customHeight="1" x14ac:dyDescent="0.25"/>
    <row r="24" spans="4:5" ht="15.75" customHeight="1" x14ac:dyDescent="0.25"/>
    <row r="25" spans="4:5" ht="15.75" customHeight="1" x14ac:dyDescent="0.25"/>
    <row r="26" spans="4:5" ht="15.75" customHeight="1" x14ac:dyDescent="0.25"/>
    <row r="27" spans="4:5" ht="15.75" customHeight="1" x14ac:dyDescent="0.25"/>
    <row r="28" spans="4:5" ht="15.75" customHeight="1" x14ac:dyDescent="0.25"/>
    <row r="29" spans="4:5" ht="15.75" customHeight="1" x14ac:dyDescent="0.25"/>
    <row r="30" spans="4:5" ht="15.75" customHeight="1" x14ac:dyDescent="0.25"/>
    <row r="31" spans="4:5" ht="15.75" customHeight="1" x14ac:dyDescent="0.25"/>
    <row r="32" spans="4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6624f80-466a-4324-91bb-078ba1487887}" enabled="1" method="Privileged" siteId="{af7227b1-ac3a-4487-9e9f-ba462bb409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Mỹ Ngọc</vt:lpstr>
      <vt:lpstr>Hùynh Thị Huyền Trân</vt:lpstr>
      <vt:lpstr>Anh Thư</vt:lpstr>
      <vt:lpstr>Nguyễn Thị Mỹ Duyên</vt:lpstr>
      <vt:lpstr>Yến</vt:lpstr>
      <vt:lpstr>NgọcAn</vt:lpstr>
      <vt:lpstr>Nguyễn Thị Như Quỳnh</vt:lpstr>
      <vt:lpstr>Hương</vt:lpstr>
      <vt:lpstr>Lê Duy Mộng Tuyền</vt:lpstr>
      <vt:lpstr>Hải My</vt:lpstr>
      <vt:lpstr>Kim Tiền</vt:lpstr>
      <vt:lpstr>Thanh Bình</vt:lpstr>
      <vt:lpstr>Ngọc Hân</vt:lpstr>
      <vt:lpstr>Kim Anh</vt:lpstr>
      <vt:lpstr>Hải Như</vt:lpstr>
      <vt:lpstr>Ngọc Thi</vt:lpstr>
      <vt:lpstr>Xuân</vt:lpstr>
      <vt:lpstr>Nguyễn thị thanh trúc</vt:lpstr>
      <vt:lpstr>Nguyễn Thanh Trúc</vt:lpstr>
      <vt:lpstr>Nguyễn tuyền</vt:lpstr>
      <vt:lpstr>Thạnh</vt:lpstr>
      <vt:lpstr>Lý Ngọc Quỳnh Châu</vt:lpstr>
      <vt:lpstr>Trinh Trinh</vt:lpstr>
      <vt:lpstr>Huỳnh Mỹ Duyên</vt:lpstr>
      <vt:lpstr>Thanh Ngân</vt:lpstr>
      <vt:lpstr>Ngọc Trâm</vt:lpstr>
      <vt:lpstr>Thanh Nhã</vt:lpstr>
      <vt:lpstr>Phạm Thanh Thảo</vt:lpstr>
      <vt:lpstr>Huỳnh Nguyễn Bảo Trân</vt:lpstr>
      <vt:lpstr>Diệu</vt:lpstr>
      <vt:lpstr>Châu Thảo Anh</vt:lpstr>
      <vt:lpstr>Uyên</vt:lpstr>
      <vt:lpstr>Nguyễn Ánh Tuyết</vt:lpstr>
      <vt:lpstr>Bình</vt:lpstr>
      <vt:lpstr>Ngọc Anh</vt:lpstr>
      <vt:lpstr>Thanh 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 Cuong (extern)</cp:lastModifiedBy>
  <dcterms:modified xsi:type="dcterms:W3CDTF">2026-06-03T09:57:41Z</dcterms:modified>
</cp:coreProperties>
</file>